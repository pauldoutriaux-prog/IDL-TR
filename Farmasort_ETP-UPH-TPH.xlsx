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idlogistics-my.sharepoint.com/personal/pdoutriaux_id-logistics_com/Documents/Documents/Projet - Copie/IDL Troyes/02_ETP &amp; dimensionnement/"/>
    </mc:Choice>
  </mc:AlternateContent>
  <xr:revisionPtr revIDLastSave="200" documentId="8_{B4095B82-0DF3-498E-8260-4D75EC8FCF9D}" xr6:coauthVersionLast="47" xr6:coauthVersionMax="47" xr10:uidLastSave="{05DA4E26-A077-4163-A466-2ADBF279165A}"/>
  <bookViews>
    <workbookView xWindow="-108" yWindow="-108" windowWidth="23256" windowHeight="12456" tabRatio="721" firstSheet="1" activeTab="1" xr2:uid="{00000000-000D-0000-FFFF-FFFF00000000}"/>
  </bookViews>
  <sheets>
    <sheet name="Hypothèses" sheetId="1" r:id="rId1"/>
    <sheet name="Calcul UPH" sheetId="2" r:id="rId2"/>
    <sheet name="Calcul ETP Onboarding" sheetId="3" r:id="rId3"/>
    <sheet name="Repart OnBoarding" sheetId="4" r:id="rId4"/>
    <sheet name="Productivités u_h" sheetId="8" r:id="rId5"/>
    <sheet name="CAPA" sheetId="5" r:id="rId6"/>
    <sheet name="I1" sheetId="6" r:id="rId7"/>
    <sheet name="I2" sheetId="7" r:id="rId8"/>
    <sheet name="Besoin ETP Achille" sheetId="9" r:id="rId9"/>
    <sheet name="Volume &amp; Flux Achille " sheetId="10" r:id="rId10"/>
    <sheet name="Flow Structure RFQ" sheetId="11" r:id="rId11"/>
    <sheet name="Productivities RFQ" sheetId="12" r:id="rId12"/>
  </sheets>
  <externalReferences>
    <externalReference r:id="rId13"/>
    <externalReference r:id="rId14"/>
  </externalReferences>
  <definedNames>
    <definedName name="start_date">'[1]Monthly Forecast'!$C$2</definedName>
    <definedName name="Year">'[1]1. Tender Profile'!$C$16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6" i="2" l="1"/>
  <c r="I51" i="2"/>
  <c r="I50" i="2"/>
  <c r="I49" i="2"/>
  <c r="I30" i="2"/>
  <c r="I29" i="2"/>
  <c r="E47" i="2"/>
  <c r="E45" i="2"/>
  <c r="E44" i="2"/>
  <c r="E43" i="2"/>
  <c r="E41" i="2"/>
  <c r="E40" i="2"/>
  <c r="E39" i="2"/>
  <c r="E38" i="2"/>
  <c r="E28" i="2"/>
  <c r="E26" i="2"/>
  <c r="E24" i="2"/>
  <c r="E23" i="2"/>
  <c r="E22" i="2"/>
  <c r="E21" i="2"/>
  <c r="E20" i="2"/>
  <c r="E19" i="2"/>
  <c r="E16" i="2"/>
  <c r="E13" i="2"/>
  <c r="H88" i="12" l="1"/>
  <c r="G88" i="12"/>
  <c r="F88" i="12"/>
  <c r="E88" i="12"/>
  <c r="J66" i="12"/>
  <c r="I66" i="12"/>
  <c r="H66" i="12"/>
  <c r="G66" i="12"/>
  <c r="F66" i="12"/>
  <c r="E66" i="12"/>
  <c r="J58" i="12"/>
  <c r="J57" i="12" s="1"/>
  <c r="J59" i="12" s="1"/>
  <c r="I58" i="12"/>
  <c r="I57" i="12" s="1"/>
  <c r="I59" i="12" s="1"/>
  <c r="H58" i="12"/>
  <c r="H57" i="12" s="1"/>
  <c r="G58" i="12"/>
  <c r="G57" i="12" s="1"/>
  <c r="F58" i="12"/>
  <c r="F57" i="12" s="1"/>
  <c r="E58" i="12"/>
  <c r="E57" i="12" s="1"/>
  <c r="E55" i="12"/>
  <c r="E54" i="12"/>
  <c r="E50" i="12" s="1"/>
  <c r="E53" i="12"/>
  <c r="H51" i="12"/>
  <c r="G51" i="12"/>
  <c r="F51" i="12"/>
  <c r="E51" i="12"/>
  <c r="H50" i="12"/>
  <c r="G50" i="12"/>
  <c r="F50" i="12"/>
  <c r="H49" i="12"/>
  <c r="G49" i="12"/>
  <c r="F49" i="12"/>
  <c r="E49" i="12"/>
  <c r="J38" i="12"/>
  <c r="I38" i="12"/>
  <c r="H38" i="12"/>
  <c r="G38" i="12"/>
  <c r="F38" i="12"/>
  <c r="E38" i="12"/>
  <c r="J37" i="12"/>
  <c r="I37" i="12"/>
  <c r="H37" i="12"/>
  <c r="G37" i="12"/>
  <c r="F37" i="12"/>
  <c r="E37" i="12"/>
  <c r="J36" i="12"/>
  <c r="I36" i="12"/>
  <c r="H36" i="12"/>
  <c r="G36" i="12"/>
  <c r="F36" i="12"/>
  <c r="E36" i="12"/>
  <c r="J16" i="12"/>
  <c r="I16" i="12"/>
  <c r="H16" i="12"/>
  <c r="G16" i="12"/>
  <c r="F16" i="12"/>
  <c r="E16" i="12"/>
  <c r="E13" i="12"/>
  <c r="J12" i="12"/>
  <c r="I12" i="12"/>
  <c r="H11" i="12"/>
  <c r="H12" i="12" s="1"/>
  <c r="G11" i="12"/>
  <c r="G12" i="12" s="1"/>
  <c r="F11" i="12"/>
  <c r="F12" i="12" s="1"/>
  <c r="E11" i="12"/>
  <c r="E12" i="12" s="1"/>
  <c r="E9" i="12"/>
  <c r="E10" i="12" s="1"/>
  <c r="J8" i="12"/>
  <c r="I8" i="12"/>
  <c r="H8" i="12"/>
  <c r="G8" i="12"/>
  <c r="F8" i="12"/>
  <c r="E8" i="12"/>
  <c r="J5" i="12"/>
  <c r="I5" i="12"/>
  <c r="I6" i="12" s="1"/>
  <c r="H5" i="12"/>
  <c r="H6" i="12" s="1"/>
  <c r="G5" i="12"/>
  <c r="F5" i="12"/>
  <c r="E5" i="12"/>
  <c r="J4" i="12"/>
  <c r="I4" i="12"/>
  <c r="H4" i="12"/>
  <c r="G4" i="12"/>
  <c r="F4" i="12"/>
  <c r="E4" i="12"/>
  <c r="E3" i="12"/>
  <c r="F3" i="12" s="1"/>
  <c r="G3" i="12" s="1"/>
  <c r="H3" i="12" s="1"/>
  <c r="I3" i="12" s="1"/>
  <c r="J3" i="12" s="1"/>
  <c r="E106" i="11"/>
  <c r="E103" i="11"/>
  <c r="E96" i="11" s="1"/>
  <c r="E100" i="11"/>
  <c r="E98" i="11"/>
  <c r="E90" i="11"/>
  <c r="E91" i="11" s="1"/>
  <c r="E89" i="11"/>
  <c r="E87" i="11"/>
  <c r="E85" i="11"/>
  <c r="E84" i="11"/>
  <c r="C74" i="11"/>
  <c r="C73" i="11"/>
  <c r="C72" i="11"/>
  <c r="C71" i="11"/>
  <c r="C70" i="11"/>
  <c r="C69" i="11"/>
  <c r="E68" i="11"/>
  <c r="E67" i="11"/>
  <c r="E66" i="11"/>
  <c r="E60" i="11"/>
  <c r="E80" i="11" s="1"/>
  <c r="E59" i="11"/>
  <c r="E79" i="11" s="1"/>
  <c r="E58" i="11"/>
  <c r="E78" i="11" s="1"/>
  <c r="E50" i="11"/>
  <c r="E49" i="11"/>
  <c r="E48" i="11"/>
  <c r="E40" i="11"/>
  <c r="E34" i="11"/>
  <c r="E30" i="11"/>
  <c r="E26" i="11"/>
  <c r="E24" i="11"/>
  <c r="E17" i="11"/>
  <c r="E65" i="11" s="1"/>
  <c r="E16" i="11"/>
  <c r="E11" i="11"/>
  <c r="E44" i="11" s="1"/>
  <c r="E43" i="11" s="1"/>
  <c r="E8" i="11"/>
  <c r="E4" i="11"/>
  <c r="T33" i="9"/>
  <c r="S33" i="9"/>
  <c r="R33" i="9"/>
  <c r="Q33" i="9"/>
  <c r="P33" i="9"/>
  <c r="O33" i="9"/>
  <c r="N33" i="9"/>
  <c r="M33" i="9"/>
  <c r="L33" i="9"/>
  <c r="K33" i="9"/>
  <c r="J33" i="9"/>
  <c r="I33" i="9"/>
  <c r="H33" i="9"/>
  <c r="G33" i="9"/>
  <c r="F33" i="9"/>
  <c r="E33" i="9"/>
  <c r="T32" i="9"/>
  <c r="S32" i="9"/>
  <c r="R32" i="9"/>
  <c r="Q32" i="9"/>
  <c r="P32" i="9"/>
  <c r="O32" i="9"/>
  <c r="N32" i="9"/>
  <c r="M32" i="9"/>
  <c r="L32" i="9"/>
  <c r="K32" i="9"/>
  <c r="J32" i="9"/>
  <c r="I32" i="9"/>
  <c r="H32" i="9"/>
  <c r="G32" i="9"/>
  <c r="F32" i="9"/>
  <c r="E32" i="9"/>
  <c r="T31" i="9"/>
  <c r="S31" i="9"/>
  <c r="R31" i="9"/>
  <c r="Q31" i="9"/>
  <c r="P31" i="9"/>
  <c r="O31" i="9"/>
  <c r="N31" i="9"/>
  <c r="M31" i="9"/>
  <c r="L31" i="9"/>
  <c r="K31" i="9"/>
  <c r="J31" i="9"/>
  <c r="I31" i="9"/>
  <c r="H31" i="9"/>
  <c r="G31" i="9"/>
  <c r="F31" i="9"/>
  <c r="E31" i="9"/>
  <c r="T30" i="9"/>
  <c r="S30" i="9"/>
  <c r="R30" i="9"/>
  <c r="Q30" i="9"/>
  <c r="P30" i="9"/>
  <c r="O30" i="9"/>
  <c r="N30" i="9"/>
  <c r="M30" i="9"/>
  <c r="L30" i="9"/>
  <c r="K30" i="9"/>
  <c r="J30" i="9"/>
  <c r="I30" i="9"/>
  <c r="H30" i="9"/>
  <c r="G30" i="9"/>
  <c r="F30" i="9"/>
  <c r="E30" i="9"/>
  <c r="T29" i="9"/>
  <c r="S29" i="9"/>
  <c r="R29" i="9"/>
  <c r="Q29" i="9"/>
  <c r="P29" i="9"/>
  <c r="O29" i="9"/>
  <c r="N29" i="9"/>
  <c r="M29" i="9"/>
  <c r="L29" i="9"/>
  <c r="K29" i="9"/>
  <c r="J29" i="9"/>
  <c r="I29" i="9"/>
  <c r="H29" i="9"/>
  <c r="G29" i="9"/>
  <c r="F29" i="9"/>
  <c r="E29" i="9"/>
  <c r="O28" i="9"/>
  <c r="F28" i="9"/>
  <c r="E28" i="9"/>
  <c r="T27" i="9"/>
  <c r="S27" i="9"/>
  <c r="R27" i="9"/>
  <c r="Q27" i="9"/>
  <c r="F27" i="9"/>
  <c r="E27" i="9"/>
  <c r="T26" i="9"/>
  <c r="S26" i="9"/>
  <c r="M26" i="9"/>
  <c r="F26" i="9"/>
  <c r="E26" i="9"/>
  <c r="T25" i="9"/>
  <c r="T28" i="9" s="1"/>
  <c r="S25" i="9"/>
  <c r="S28" i="9" s="1"/>
  <c r="R25" i="9"/>
  <c r="R26" i="9" s="1"/>
  <c r="Q25" i="9"/>
  <c r="Q26" i="9" s="1"/>
  <c r="P25" i="9"/>
  <c r="P28" i="9" s="1"/>
  <c r="O25" i="9"/>
  <c r="O27" i="9" s="1"/>
  <c r="N25" i="9"/>
  <c r="N28" i="9" s="1"/>
  <c r="M25" i="9"/>
  <c r="M27" i="9" s="1"/>
  <c r="L25" i="9"/>
  <c r="L27" i="9" s="1"/>
  <c r="K25" i="9"/>
  <c r="K27" i="9" s="1"/>
  <c r="J25" i="9"/>
  <c r="J28" i="9" s="1"/>
  <c r="I25" i="9"/>
  <c r="I28" i="9" s="1"/>
  <c r="H25" i="9"/>
  <c r="H26" i="9" s="1"/>
  <c r="G25" i="9"/>
  <c r="G26" i="9" s="1"/>
  <c r="F25" i="9"/>
  <c r="E25" i="9"/>
  <c r="L24" i="9"/>
  <c r="K24" i="9"/>
  <c r="J24" i="9"/>
  <c r="I24" i="9"/>
  <c r="S23" i="9"/>
  <c r="L23" i="9"/>
  <c r="K23" i="9"/>
  <c r="E23" i="9"/>
  <c r="T22" i="9"/>
  <c r="T24" i="9" s="1"/>
  <c r="S22" i="9"/>
  <c r="S24" i="9" s="1"/>
  <c r="R22" i="9"/>
  <c r="R24" i="9" s="1"/>
  <c r="Q22" i="9"/>
  <c r="Q24" i="9" s="1"/>
  <c r="P22" i="9"/>
  <c r="P24" i="9" s="1"/>
  <c r="O22" i="9"/>
  <c r="O24" i="9" s="1"/>
  <c r="N22" i="9"/>
  <c r="N23" i="9" s="1"/>
  <c r="M22" i="9"/>
  <c r="M24" i="9" s="1"/>
  <c r="L22" i="9"/>
  <c r="K22" i="9"/>
  <c r="J22" i="9"/>
  <c r="J23" i="9" s="1"/>
  <c r="I22" i="9"/>
  <c r="I23" i="9" s="1"/>
  <c r="H22" i="9"/>
  <c r="H24" i="9" s="1"/>
  <c r="G22" i="9"/>
  <c r="G24" i="9" s="1"/>
  <c r="F22" i="9"/>
  <c r="F24" i="9" s="1"/>
  <c r="E22" i="9"/>
  <c r="E24" i="9" s="1"/>
  <c r="T21" i="9"/>
  <c r="S21" i="9"/>
  <c r="R21" i="9"/>
  <c r="Q21" i="9"/>
  <c r="P21" i="9"/>
  <c r="O21" i="9"/>
  <c r="N21" i="9"/>
  <c r="M21" i="9"/>
  <c r="L21" i="9"/>
  <c r="K21" i="9"/>
  <c r="J21" i="9"/>
  <c r="I21" i="9"/>
  <c r="H21" i="9"/>
  <c r="G21" i="9"/>
  <c r="F21" i="9"/>
  <c r="E21" i="9"/>
  <c r="T19" i="9"/>
  <c r="S19" i="9"/>
  <c r="R19" i="9"/>
  <c r="Q19" i="9"/>
  <c r="P19" i="9"/>
  <c r="O19" i="9"/>
  <c r="N19" i="9"/>
  <c r="M19" i="9"/>
  <c r="L19" i="9"/>
  <c r="K19" i="9"/>
  <c r="J19" i="9"/>
  <c r="I19" i="9"/>
  <c r="H19" i="9"/>
  <c r="G19" i="9"/>
  <c r="F19" i="9"/>
  <c r="E19" i="9"/>
  <c r="D19" i="9"/>
  <c r="T18" i="9"/>
  <c r="S18" i="9"/>
  <c r="R18" i="9"/>
  <c r="Q18" i="9"/>
  <c r="P18" i="9"/>
  <c r="O18" i="9"/>
  <c r="N18" i="9"/>
  <c r="M18" i="9"/>
  <c r="L18" i="9"/>
  <c r="K18" i="9"/>
  <c r="J18" i="9"/>
  <c r="I18" i="9"/>
  <c r="H18" i="9"/>
  <c r="G18" i="9"/>
  <c r="F18" i="9"/>
  <c r="E18" i="9"/>
  <c r="D18" i="9"/>
  <c r="T17" i="9"/>
  <c r="S17" i="9"/>
  <c r="R17" i="9"/>
  <c r="Q17" i="9"/>
  <c r="P17" i="9"/>
  <c r="O17" i="9"/>
  <c r="N17" i="9"/>
  <c r="M17" i="9"/>
  <c r="L17" i="9"/>
  <c r="K17" i="9"/>
  <c r="J17" i="9"/>
  <c r="I17" i="9"/>
  <c r="H17" i="9"/>
  <c r="G17" i="9"/>
  <c r="F17" i="9"/>
  <c r="E17" i="9"/>
  <c r="D17" i="9"/>
  <c r="T16" i="9"/>
  <c r="S16" i="9"/>
  <c r="R16" i="9"/>
  <c r="Q16" i="9"/>
  <c r="P16" i="9"/>
  <c r="O16" i="9"/>
  <c r="N16" i="9"/>
  <c r="M16" i="9"/>
  <c r="L16" i="9"/>
  <c r="K16" i="9"/>
  <c r="J16" i="9"/>
  <c r="I16" i="9"/>
  <c r="H16" i="9"/>
  <c r="G16" i="9"/>
  <c r="F16" i="9"/>
  <c r="E16" i="9"/>
  <c r="D16" i="9"/>
  <c r="T15" i="9"/>
  <c r="S15" i="9"/>
  <c r="R15" i="9"/>
  <c r="Q15" i="9"/>
  <c r="P15" i="9"/>
  <c r="O15" i="9"/>
  <c r="G15" i="9"/>
  <c r="F15" i="9"/>
  <c r="E15" i="9"/>
  <c r="D15" i="9"/>
  <c r="T14" i="9"/>
  <c r="S14" i="9"/>
  <c r="R14" i="9"/>
  <c r="G14" i="9"/>
  <c r="F14" i="9"/>
  <c r="E14" i="9"/>
  <c r="D14" i="9"/>
  <c r="N13" i="9"/>
  <c r="G13" i="9"/>
  <c r="T12" i="9"/>
  <c r="S12" i="9"/>
  <c r="R12" i="9"/>
  <c r="Q12" i="9"/>
  <c r="P12" i="9"/>
  <c r="O12" i="9"/>
  <c r="N12" i="9"/>
  <c r="M12" i="9"/>
  <c r="L12" i="9"/>
  <c r="K12" i="9"/>
  <c r="J12" i="9"/>
  <c r="I12" i="9"/>
  <c r="H12" i="9"/>
  <c r="G12" i="9"/>
  <c r="F12" i="9"/>
  <c r="E12" i="9"/>
  <c r="D12" i="9"/>
  <c r="T11" i="9"/>
  <c r="S11" i="9"/>
  <c r="R11" i="9"/>
  <c r="Q11" i="9"/>
  <c r="P11" i="9"/>
  <c r="O11" i="9"/>
  <c r="N11" i="9"/>
  <c r="M11" i="9"/>
  <c r="L11" i="9"/>
  <c r="K11" i="9"/>
  <c r="J11" i="9"/>
  <c r="I11" i="9"/>
  <c r="H11" i="9"/>
  <c r="G11" i="9"/>
  <c r="F11" i="9"/>
  <c r="E11" i="9"/>
  <c r="D11" i="9"/>
  <c r="T10" i="9"/>
  <c r="S10" i="9"/>
  <c r="R10" i="9"/>
  <c r="Q10" i="9"/>
  <c r="P10" i="9"/>
  <c r="O10" i="9"/>
  <c r="N10" i="9"/>
  <c r="M10" i="9"/>
  <c r="L10" i="9"/>
  <c r="K10" i="9"/>
  <c r="J10" i="9"/>
  <c r="I10" i="9"/>
  <c r="H10" i="9"/>
  <c r="G10" i="9"/>
  <c r="F10" i="9"/>
  <c r="E10" i="9"/>
  <c r="D10" i="9"/>
  <c r="T9" i="9"/>
  <c r="S9" i="9"/>
  <c r="R9" i="9"/>
  <c r="Q9" i="9"/>
  <c r="P9" i="9"/>
  <c r="O9" i="9"/>
  <c r="N9" i="9"/>
  <c r="M9" i="9"/>
  <c r="L9" i="9"/>
  <c r="K9" i="9"/>
  <c r="J9" i="9"/>
  <c r="I9" i="9"/>
  <c r="H9" i="9"/>
  <c r="G9" i="9"/>
  <c r="F9" i="9"/>
  <c r="E9" i="9"/>
  <c r="D9" i="9"/>
  <c r="T8" i="9"/>
  <c r="T13" i="9" s="1"/>
  <c r="S8" i="9"/>
  <c r="S13" i="9" s="1"/>
  <c r="R8" i="9"/>
  <c r="R13" i="9" s="1"/>
  <c r="Q8" i="9"/>
  <c r="Q14" i="9" s="1"/>
  <c r="P8" i="9"/>
  <c r="P14" i="9" s="1"/>
  <c r="O8" i="9"/>
  <c r="O14" i="9" s="1"/>
  <c r="N8" i="9"/>
  <c r="N15" i="9" s="1"/>
  <c r="M8" i="9"/>
  <c r="M15" i="9" s="1"/>
  <c r="L8" i="9"/>
  <c r="L15" i="9" s="1"/>
  <c r="K8" i="9"/>
  <c r="K15" i="9" s="1"/>
  <c r="J8" i="9"/>
  <c r="J15" i="9" s="1"/>
  <c r="I8" i="9"/>
  <c r="I15" i="9" s="1"/>
  <c r="H8" i="9"/>
  <c r="H15" i="9" s="1"/>
  <c r="G8" i="9"/>
  <c r="F8" i="9"/>
  <c r="F13" i="9" s="1"/>
  <c r="E8" i="9"/>
  <c r="E13" i="9" s="1"/>
  <c r="D8" i="9"/>
  <c r="D13" i="9" s="1"/>
  <c r="T7" i="9"/>
  <c r="S7" i="9"/>
  <c r="R7" i="9"/>
  <c r="Q7" i="9"/>
  <c r="P7" i="9"/>
  <c r="O7" i="9"/>
  <c r="N7" i="9"/>
  <c r="M7" i="9"/>
  <c r="L7" i="9"/>
  <c r="K7" i="9"/>
  <c r="J7" i="9"/>
  <c r="I7" i="9"/>
  <c r="H7" i="9"/>
  <c r="G7" i="9"/>
  <c r="F7" i="9"/>
  <c r="E7" i="9"/>
  <c r="D7" i="9"/>
  <c r="T6" i="9"/>
  <c r="S6" i="9"/>
  <c r="R6" i="9"/>
  <c r="Q6" i="9"/>
  <c r="P6" i="9"/>
  <c r="O6" i="9"/>
  <c r="N6" i="9"/>
  <c r="M6" i="9"/>
  <c r="L6" i="9"/>
  <c r="K6" i="9"/>
  <c r="J6" i="9"/>
  <c r="I6" i="9"/>
  <c r="H6" i="9"/>
  <c r="G6" i="9"/>
  <c r="F6" i="9"/>
  <c r="E6" i="9"/>
  <c r="D6" i="9"/>
  <c r="T5" i="9"/>
  <c r="S5" i="9"/>
  <c r="R5" i="9"/>
  <c r="Q5" i="9"/>
  <c r="P5" i="9"/>
  <c r="O5" i="9"/>
  <c r="N5" i="9"/>
  <c r="M5" i="9"/>
  <c r="L5" i="9"/>
  <c r="K5" i="9"/>
  <c r="J5" i="9"/>
  <c r="I5" i="9"/>
  <c r="H5" i="9"/>
  <c r="G5" i="9"/>
  <c r="F5" i="9"/>
  <c r="E5" i="9"/>
  <c r="D5" i="9"/>
  <c r="T4" i="9"/>
  <c r="S4" i="9"/>
  <c r="R4" i="9"/>
  <c r="Q4" i="9"/>
  <c r="P4" i="9"/>
  <c r="O4" i="9"/>
  <c r="N4" i="9"/>
  <c r="M4" i="9"/>
  <c r="L4" i="9"/>
  <c r="K4" i="9"/>
  <c r="J4" i="9"/>
  <c r="I4" i="9"/>
  <c r="H4" i="9"/>
  <c r="G4" i="9"/>
  <c r="F4" i="9"/>
  <c r="E4" i="9"/>
  <c r="D4" i="9"/>
  <c r="T3" i="9"/>
  <c r="S3" i="9"/>
  <c r="R3" i="9"/>
  <c r="Q3" i="9"/>
  <c r="P3" i="9"/>
  <c r="O3" i="9"/>
  <c r="N3" i="9"/>
  <c r="M3" i="9"/>
  <c r="L3" i="9"/>
  <c r="K3" i="9"/>
  <c r="J3" i="9"/>
  <c r="I3" i="9"/>
  <c r="H3" i="9"/>
  <c r="G3" i="9"/>
  <c r="F3" i="9"/>
  <c r="E3" i="9"/>
  <c r="D3" i="9"/>
  <c r="F6" i="12" l="1"/>
  <c r="J6" i="12"/>
  <c r="E6" i="12"/>
  <c r="G6" i="12"/>
  <c r="H60" i="12"/>
  <c r="H59" i="12"/>
  <c r="H61" i="12"/>
  <c r="H62" i="12"/>
  <c r="G59" i="12"/>
  <c r="G61" i="12"/>
  <c r="G60" i="12"/>
  <c r="G62" i="12"/>
  <c r="E62" i="12"/>
  <c r="E60" i="12"/>
  <c r="E59" i="12"/>
  <c r="E61" i="12"/>
  <c r="F62" i="12"/>
  <c r="F59" i="12"/>
  <c r="F61" i="12"/>
  <c r="F60" i="12"/>
  <c r="I62" i="12"/>
  <c r="J62" i="12"/>
  <c r="J60" i="12"/>
  <c r="F9" i="12"/>
  <c r="I60" i="12"/>
  <c r="I61" i="12"/>
  <c r="J61" i="12"/>
  <c r="E94" i="11"/>
  <c r="E93" i="11"/>
  <c r="E92" i="11"/>
  <c r="E75" i="11"/>
  <c r="E76" i="11" s="1"/>
  <c r="E74" i="11"/>
  <c r="E72" i="11"/>
  <c r="E57" i="11"/>
  <c r="E77" i="11" s="1"/>
  <c r="E73" i="11"/>
  <c r="E71" i="11"/>
  <c r="E81" i="11"/>
  <c r="E70" i="11"/>
  <c r="Q28" i="9"/>
  <c r="R28" i="9"/>
  <c r="I13" i="9"/>
  <c r="M23" i="9"/>
  <c r="J13" i="9"/>
  <c r="K13" i="9"/>
  <c r="H14" i="9"/>
  <c r="O23" i="9"/>
  <c r="I26" i="9"/>
  <c r="G27" i="9"/>
  <c r="L13" i="9"/>
  <c r="I14" i="9"/>
  <c r="P23" i="9"/>
  <c r="N24" i="9"/>
  <c r="J26" i="9"/>
  <c r="H27" i="9"/>
  <c r="M13" i="9"/>
  <c r="J14" i="9"/>
  <c r="Q23" i="9"/>
  <c r="K26" i="9"/>
  <c r="I27" i="9"/>
  <c r="G28" i="9"/>
  <c r="R23" i="9"/>
  <c r="L26" i="9"/>
  <c r="J27" i="9"/>
  <c r="H28" i="9"/>
  <c r="H13" i="9"/>
  <c r="K28" i="9"/>
  <c r="L28" i="9"/>
  <c r="M28" i="9"/>
  <c r="K14" i="9"/>
  <c r="O13" i="9"/>
  <c r="L14" i="9"/>
  <c r="P13" i="9"/>
  <c r="M14" i="9"/>
  <c r="F23" i="9"/>
  <c r="T23" i="9"/>
  <c r="N26" i="9"/>
  <c r="Q13" i="9"/>
  <c r="N14" i="9"/>
  <c r="G23" i="9"/>
  <c r="O26" i="9"/>
  <c r="H23" i="9"/>
  <c r="P26" i="9"/>
  <c r="N27" i="9"/>
  <c r="P27" i="9"/>
  <c r="F10" i="12" l="1"/>
  <c r="G9" i="12"/>
  <c r="G10" i="12" l="1"/>
  <c r="H9" i="12"/>
  <c r="H10" i="12" l="1"/>
  <c r="I9" i="12"/>
  <c r="J9" i="12" l="1"/>
  <c r="J10" i="12" s="1"/>
  <c r="I10" i="12"/>
  <c r="G29" i="4" l="1"/>
  <c r="G27" i="4"/>
  <c r="G21" i="4"/>
  <c r="G17" i="4"/>
  <c r="G16" i="4"/>
  <c r="G2" i="4"/>
  <c r="G6" i="4"/>
  <c r="F13" i="2"/>
  <c r="G26" i="4"/>
  <c r="G31" i="4"/>
  <c r="G32" i="4"/>
  <c r="G33" i="4"/>
  <c r="G34" i="4"/>
  <c r="G30" i="4"/>
  <c r="G28" i="4"/>
  <c r="G25" i="4"/>
  <c r="G19" i="4"/>
  <c r="G20" i="4"/>
  <c r="G18" i="4"/>
  <c r="G15" i="4"/>
  <c r="G7" i="4"/>
  <c r="G4" i="4"/>
  <c r="G5" i="4"/>
  <c r="G3" i="4"/>
  <c r="I18" i="7"/>
  <c r="E18" i="7"/>
  <c r="D18" i="7"/>
  <c r="I16" i="7"/>
  <c r="H16" i="7"/>
  <c r="H18" i="7" s="1"/>
  <c r="G16" i="7"/>
  <c r="G18" i="7" s="1"/>
  <c r="F16" i="7"/>
  <c r="F18" i="7" s="1"/>
  <c r="E16" i="7"/>
  <c r="D16" i="7"/>
  <c r="C16" i="7"/>
  <c r="C18" i="7" s="1"/>
  <c r="I18" i="6"/>
  <c r="G18" i="6"/>
  <c r="E18" i="6"/>
  <c r="D18" i="6"/>
  <c r="I16" i="6"/>
  <c r="H16" i="6"/>
  <c r="H18" i="6" s="1"/>
  <c r="G16" i="6"/>
  <c r="F16" i="6"/>
  <c r="F18" i="6" s="1"/>
  <c r="E16" i="6"/>
  <c r="D16" i="6"/>
  <c r="C16" i="6"/>
  <c r="C18" i="6" s="1"/>
  <c r="J22" i="5"/>
  <c r="I22" i="5"/>
  <c r="H22" i="5"/>
  <c r="G22" i="5"/>
  <c r="F22" i="5"/>
  <c r="E22" i="5"/>
  <c r="D22" i="5"/>
  <c r="J16" i="5"/>
  <c r="J19" i="5" s="1"/>
  <c r="J24" i="5" s="1"/>
  <c r="I16" i="5"/>
  <c r="I19" i="5" s="1"/>
  <c r="I24" i="5" s="1"/>
  <c r="H16" i="5"/>
  <c r="H19" i="5" s="1"/>
  <c r="H24" i="5" s="1"/>
  <c r="G16" i="5"/>
  <c r="G19" i="5" s="1"/>
  <c r="G24" i="5" s="1"/>
  <c r="F16" i="5"/>
  <c r="F19" i="5" s="1"/>
  <c r="F24" i="5" s="1"/>
  <c r="E16" i="5"/>
  <c r="E19" i="5" s="1"/>
  <c r="E24" i="5" s="1"/>
  <c r="D16" i="5"/>
  <c r="D19" i="5" s="1"/>
  <c r="D24" i="5" s="1"/>
  <c r="J14" i="5"/>
  <c r="I14" i="5"/>
  <c r="H14" i="5"/>
  <c r="G14" i="5"/>
  <c r="F14" i="5"/>
  <c r="E14" i="5"/>
  <c r="D14" i="5"/>
  <c r="J13" i="5"/>
  <c r="I13" i="5"/>
  <c r="H13" i="5"/>
  <c r="G13" i="5"/>
  <c r="F13" i="5"/>
  <c r="E13" i="5"/>
  <c r="D13" i="5"/>
  <c r="J11" i="5"/>
  <c r="I11" i="5"/>
  <c r="H11" i="5"/>
  <c r="G11" i="5"/>
  <c r="F11" i="5"/>
  <c r="E11" i="5"/>
  <c r="D11" i="5"/>
  <c r="J10" i="5"/>
  <c r="I10" i="5"/>
  <c r="H10" i="5"/>
  <c r="G10" i="5"/>
  <c r="F10" i="5"/>
  <c r="E10" i="5"/>
  <c r="D10" i="5"/>
  <c r="J9" i="5"/>
  <c r="I9" i="5"/>
  <c r="H9" i="5"/>
  <c r="G9" i="5"/>
  <c r="F9" i="5"/>
  <c r="E9" i="5"/>
  <c r="D9" i="5"/>
  <c r="J8" i="5"/>
  <c r="I8" i="5"/>
  <c r="H8" i="5"/>
  <c r="G8" i="5"/>
  <c r="F8" i="5"/>
  <c r="E8" i="5"/>
  <c r="D8" i="5"/>
  <c r="J5" i="5"/>
  <c r="I5" i="5"/>
  <c r="H5" i="5"/>
  <c r="G5" i="5"/>
  <c r="F5" i="5"/>
  <c r="J4" i="5"/>
  <c r="I4" i="5"/>
  <c r="H4" i="5"/>
  <c r="G4" i="5"/>
  <c r="F4" i="5"/>
  <c r="E4" i="5"/>
  <c r="D4" i="5"/>
  <c r="B28" i="3"/>
  <c r="E27" i="3"/>
  <c r="F27" i="3" s="1"/>
  <c r="G27" i="3" s="1"/>
  <c r="J27" i="3" s="1"/>
  <c r="C27" i="3"/>
  <c r="H27" i="3" s="1"/>
  <c r="I27" i="3" s="1"/>
  <c r="E26" i="3"/>
  <c r="F26" i="3" s="1"/>
  <c r="G26" i="3" s="1"/>
  <c r="J26" i="3" s="1"/>
  <c r="C26" i="3"/>
  <c r="H26" i="3" s="1"/>
  <c r="I26" i="3" s="1"/>
  <c r="H25" i="3"/>
  <c r="I25" i="3" s="1"/>
  <c r="E25" i="3"/>
  <c r="F25" i="3" s="1"/>
  <c r="G25" i="3" s="1"/>
  <c r="J25" i="3" s="1"/>
  <c r="C25" i="3"/>
  <c r="E24" i="3"/>
  <c r="F24" i="3" s="1"/>
  <c r="G24" i="3" s="1"/>
  <c r="J24" i="3" s="1"/>
  <c r="C24" i="3"/>
  <c r="H24" i="3" s="1"/>
  <c r="I24" i="3" s="1"/>
  <c r="H23" i="3"/>
  <c r="I23" i="3" s="1"/>
  <c r="E23" i="3"/>
  <c r="F23" i="3" s="1"/>
  <c r="G23" i="3" s="1"/>
  <c r="J23" i="3" s="1"/>
  <c r="C23" i="3"/>
  <c r="E22" i="3"/>
  <c r="F22" i="3" s="1"/>
  <c r="G22" i="3" s="1"/>
  <c r="J22" i="3" s="1"/>
  <c r="C22" i="3"/>
  <c r="H22" i="3" s="1"/>
  <c r="I22" i="3" s="1"/>
  <c r="H21" i="3"/>
  <c r="I21" i="3" s="1"/>
  <c r="E21" i="3"/>
  <c r="F21" i="3" s="1"/>
  <c r="G21" i="3" s="1"/>
  <c r="J21" i="3" s="1"/>
  <c r="C21" i="3"/>
  <c r="E20" i="3"/>
  <c r="F20" i="3" s="1"/>
  <c r="G20" i="3" s="1"/>
  <c r="J20" i="3" s="1"/>
  <c r="C20" i="3"/>
  <c r="H20" i="3" s="1"/>
  <c r="I20" i="3" s="1"/>
  <c r="H19" i="3"/>
  <c r="I19" i="3" s="1"/>
  <c r="E19" i="3"/>
  <c r="F19" i="3" s="1"/>
  <c r="G19" i="3" s="1"/>
  <c r="J19" i="3" s="1"/>
  <c r="C19" i="3"/>
  <c r="E18" i="3"/>
  <c r="F18" i="3" s="1"/>
  <c r="G18" i="3" s="1"/>
  <c r="J18" i="3" s="1"/>
  <c r="C18" i="3"/>
  <c r="H18" i="3" s="1"/>
  <c r="I18" i="3" s="1"/>
  <c r="H17" i="3"/>
  <c r="I17" i="3" s="1"/>
  <c r="E17" i="3"/>
  <c r="F17" i="3" s="1"/>
  <c r="G17" i="3" s="1"/>
  <c r="J17" i="3" s="1"/>
  <c r="C17" i="3"/>
  <c r="E16" i="3"/>
  <c r="F16" i="3" s="1"/>
  <c r="G16" i="3" s="1"/>
  <c r="J16" i="3" s="1"/>
  <c r="C16" i="3"/>
  <c r="H16" i="3" s="1"/>
  <c r="I16" i="3" s="1"/>
  <c r="H15" i="3"/>
  <c r="I15" i="3" s="1"/>
  <c r="E15" i="3"/>
  <c r="F15" i="3" s="1"/>
  <c r="G15" i="3" s="1"/>
  <c r="J15" i="3" s="1"/>
  <c r="C15" i="3"/>
  <c r="E14" i="3"/>
  <c r="F14" i="3" s="1"/>
  <c r="G14" i="3" s="1"/>
  <c r="J14" i="3" s="1"/>
  <c r="C14" i="3"/>
  <c r="H14" i="3" s="1"/>
  <c r="I14" i="3" s="1"/>
  <c r="H13" i="3"/>
  <c r="I13" i="3" s="1"/>
  <c r="E13" i="3"/>
  <c r="F13" i="3" s="1"/>
  <c r="G13" i="3" s="1"/>
  <c r="J13" i="3" s="1"/>
  <c r="C13" i="3"/>
  <c r="E12" i="3"/>
  <c r="F12" i="3" s="1"/>
  <c r="G12" i="3" s="1"/>
  <c r="J12" i="3" s="1"/>
  <c r="C12" i="3"/>
  <c r="C28" i="3" s="1"/>
  <c r="H28" i="3" s="1"/>
  <c r="H11" i="3"/>
  <c r="I11" i="3" s="1"/>
  <c r="E11" i="3"/>
  <c r="E28" i="3" s="1"/>
  <c r="C11" i="3"/>
  <c r="F51" i="2"/>
  <c r="F50" i="2"/>
  <c r="F49" i="2"/>
  <c r="F48" i="2"/>
  <c r="K48" i="2" s="1"/>
  <c r="F47" i="2"/>
  <c r="F46" i="2"/>
  <c r="F45" i="2"/>
  <c r="F44" i="2"/>
  <c r="K44" i="2" s="1"/>
  <c r="F43" i="2"/>
  <c r="F42" i="2"/>
  <c r="K42" i="2" s="1"/>
  <c r="I41" i="2"/>
  <c r="F41" i="2"/>
  <c r="K41" i="2" s="1"/>
  <c r="F40" i="2"/>
  <c r="F39" i="2"/>
  <c r="F38" i="2"/>
  <c r="F37" i="2"/>
  <c r="K37" i="2" s="1"/>
  <c r="F36" i="2"/>
  <c r="F30" i="2"/>
  <c r="F29" i="2"/>
  <c r="F28" i="2"/>
  <c r="F27" i="2"/>
  <c r="F26" i="2"/>
  <c r="K26" i="2" s="1"/>
  <c r="F25" i="2"/>
  <c r="F24" i="2"/>
  <c r="F23" i="2"/>
  <c r="K23" i="2" s="1"/>
  <c r="F22" i="2"/>
  <c r="F21" i="2"/>
  <c r="F20" i="2"/>
  <c r="F19" i="2"/>
  <c r="K19" i="2" s="1"/>
  <c r="F18" i="2"/>
  <c r="F17" i="2"/>
  <c r="F16" i="2"/>
  <c r="K16" i="2" s="1"/>
  <c r="F15" i="2"/>
  <c r="F14" i="2"/>
  <c r="I47" i="2" l="1"/>
  <c r="K47" i="2"/>
  <c r="I45" i="2"/>
  <c r="K45" i="2"/>
  <c r="I44" i="2"/>
  <c r="I43" i="2"/>
  <c r="K43" i="2"/>
  <c r="I40" i="2"/>
  <c r="K40" i="2"/>
  <c r="K39" i="2"/>
  <c r="K38" i="2"/>
  <c r="K30" i="2"/>
  <c r="K29" i="2"/>
  <c r="I28" i="2"/>
  <c r="K28" i="2"/>
  <c r="I27" i="2"/>
  <c r="K27" i="2"/>
  <c r="I26" i="2"/>
  <c r="I25" i="2"/>
  <c r="K25" i="2"/>
  <c r="I24" i="2"/>
  <c r="K24" i="2"/>
  <c r="I23" i="2"/>
  <c r="I22" i="2"/>
  <c r="K22" i="2"/>
  <c r="I21" i="2"/>
  <c r="K21" i="2"/>
  <c r="I20" i="2"/>
  <c r="K20" i="2"/>
  <c r="I19" i="2"/>
  <c r="I18" i="2"/>
  <c r="K18" i="2"/>
  <c r="I17" i="2"/>
  <c r="K17" i="2"/>
  <c r="I16" i="2"/>
  <c r="I15" i="2"/>
  <c r="K15" i="2"/>
  <c r="I14" i="2"/>
  <c r="I31" i="2" s="1"/>
  <c r="I32" i="2" s="1"/>
  <c r="B56" i="2" s="1"/>
  <c r="F62" i="2" s="1"/>
  <c r="K14" i="2"/>
  <c r="I13" i="2"/>
  <c r="K13" i="2"/>
  <c r="K51" i="2"/>
  <c r="K50" i="2"/>
  <c r="K49" i="2"/>
  <c r="I48" i="2"/>
  <c r="I46" i="2"/>
  <c r="K46" i="2"/>
  <c r="I42" i="2"/>
  <c r="K36" i="2"/>
  <c r="H12" i="3"/>
  <c r="I12" i="3" s="1"/>
  <c r="F11" i="3"/>
  <c r="K31" i="2" l="1"/>
  <c r="M31" i="2" s="1"/>
  <c r="K52" i="2"/>
  <c r="L52" i="2" s="1"/>
  <c r="I52" i="2"/>
  <c r="I53" i="2" s="1"/>
  <c r="B57" i="2" s="1"/>
  <c r="F63" i="2" s="1"/>
  <c r="F28" i="3"/>
  <c r="G11" i="3"/>
  <c r="G28" i="3" l="1"/>
  <c r="J28" i="3" s="1"/>
  <c r="J11" i="3"/>
</calcChain>
</file>

<file path=xl/sharedStrings.xml><?xml version="1.0" encoding="utf-8"?>
<sst xmlns="http://schemas.openxmlformats.org/spreadsheetml/2006/main" count="1257" uniqueCount="559">
  <si>
    <t>FARMASORT — Hypothèses &amp; Conversions TPH Inbound</t>
  </si>
  <si>
    <t>Source : RFQ Closed Book v2.0 · Flow Structure IB · 1 pal=371 u · 1 carton=9 u</t>
  </si>
  <si>
    <t>Unités/palette</t>
  </si>
  <si>
    <t>u/pal</t>
  </si>
  <si>
    <t>Unités/carton</t>
  </si>
  <si>
    <t>u/cart</t>
  </si>
  <si>
    <t>Cartons/palette</t>
  </si>
  <si>
    <t>cart/pal</t>
  </si>
  <si>
    <t>Catégorie</t>
  </si>
  <si>
    <t>Activité</t>
  </si>
  <si>
    <t>Prod. native</t>
  </si>
  <si>
    <t>Unité native</t>
  </si>
  <si>
    <t>Facteur</t>
  </si>
  <si>
    <t>→ Prod u/h</t>
  </si>
  <si>
    <t>Formule</t>
  </si>
  <si>
    <t>Déchargement</t>
  </si>
  <si>
    <t>Déchargement palette</t>
  </si>
  <si>
    <t>pal</t>
  </si>
  <si>
    <t>×371 u/pal</t>
  </si>
  <si>
    <t>Vrac camion</t>
  </si>
  <si>
    <t>cartons</t>
  </si>
  <si>
    <t>×9 u/cartons</t>
  </si>
  <si>
    <t>Vrac container</t>
  </si>
  <si>
    <t>Réception</t>
  </si>
  <si>
    <t>Réception auto</t>
  </si>
  <si>
    <t>Réception pal</t>
  </si>
  <si>
    <t>Réception carton</t>
  </si>
  <si>
    <t>Each Small</t>
  </si>
  <si>
    <t>unités</t>
  </si>
  <si>
    <t>(déjà en u/h)</t>
  </si>
  <si>
    <t>Each Medium</t>
  </si>
  <si>
    <t>Each Large</t>
  </si>
  <si>
    <t>Prep Small</t>
  </si>
  <si>
    <t>Prep Medium</t>
  </si>
  <si>
    <t>Prep Large</t>
  </si>
  <si>
    <t>Stockage</t>
  </si>
  <si>
    <t>Stockage carton</t>
  </si>
  <si>
    <t>Stockage palette</t>
  </si>
  <si>
    <t>Réappro</t>
  </si>
  <si>
    <t>Réappro palette</t>
  </si>
  <si>
    <t>Réappro dynamique</t>
  </si>
  <si>
    <t>▶  TPH GLOBAL INBOUND</t>
  </si>
  <si>
    <t>TPH_IB</t>
  </si>
  <si>
    <t>u/h/pers</t>
  </si>
  <si>
    <t>FARMASORT — Calcul UPH &amp; TPH  ·  Inbound (IB) et Outbound (OB) séparés</t>
  </si>
  <si>
    <t>COEFFICIENTS</t>
  </si>
  <si>
    <t>Unités / palette</t>
  </si>
  <si>
    <t>Unités / carton</t>
  </si>
  <si>
    <t>Cartons / palette</t>
  </si>
  <si>
    <t>▶  INBOUND (IB) — Processus et UPH</t>
  </si>
  <si>
    <t>Process (RFQ 3d.Productivities)</t>
  </si>
  <si>
    <t>Unité
native</t>
  </si>
  <si>
    <t>UPH
natif
(RFQ)</t>
  </si>
  <si>
    <t>% flow
(Flow Structure)</t>
  </si>
  <si>
    <t>% flow
effectif
(sur 1 unité IB)</t>
  </si>
  <si>
    <t>Commentaire / Source</t>
  </si>
  <si>
    <t>NVF Unload - Pallets</t>
  </si>
  <si>
    <t>60% mono + 30% multi pallet = 90% IB</t>
  </si>
  <si>
    <t>NVF Unload loose load - Parcel</t>
  </si>
  <si>
    <t>5% vrac camion (Flow Str.)</t>
  </si>
  <si>
    <t>NVF Unload loose load - Container</t>
  </si>
  <si>
    <t>5% vrac container (Flow Str.)</t>
  </si>
  <si>
    <t>Pallet Receive</t>
  </si>
  <si>
    <t>60% NVF × 99% NVF flow</t>
  </si>
  <si>
    <t>Receive Support (Auto-Receive)</t>
  </si>
  <si>
    <t>25% NVF × 99% NVF flow</t>
  </si>
  <si>
    <t>Case Receive</t>
  </si>
  <si>
    <t>1% NVF × 99% NVF flow</t>
  </si>
  <si>
    <t>Each Receive - Small</t>
  </si>
  <si>
    <t>60,9% Each × 9% NVF × 99% NVF</t>
  </si>
  <si>
    <t>Each Receive - Medium</t>
  </si>
  <si>
    <t>38,8% Each × 9% NVF × 99% NVF</t>
  </si>
  <si>
    <t>Each Receive - Large</t>
  </si>
  <si>
    <t>0,3% Each × 9% NVF × 99% NVF</t>
  </si>
  <si>
    <t>Prep Recorder - Small</t>
  </si>
  <si>
    <t>60,9% Prep × 5% NVF × 99% NVF</t>
  </si>
  <si>
    <t>Prep Recorder - Medium</t>
  </si>
  <si>
    <t>38,8% Prep × 5% NVF × 99% NVF</t>
  </si>
  <si>
    <t>Prep Recorder - Large</t>
  </si>
  <si>
    <t>0,3% Prep × 5% NVF × 99% NVF</t>
  </si>
  <si>
    <t>Case Stow to Reserve</t>
  </si>
  <si>
    <t>Pallet Stow Reserve</t>
  </si>
  <si>
    <t>Case Replenishment</t>
  </si>
  <si>
    <t>20% ratio cases replenished / total IB</t>
  </si>
  <si>
    <t>Pallet Replenishment</t>
  </si>
  <si>
    <t>50% ratio pallets replenished / total IB</t>
  </si>
  <si>
    <t>Support IB</t>
  </si>
  <si>
    <t>IB Problem Solve</t>
  </si>
  <si>
    <t>PB solve sur 100% flux IB</t>
  </si>
  <si>
    <t>IB Lead/PA</t>
  </si>
  <si>
    <t>Team lead sur 100% flux IB</t>
  </si>
  <si>
    <t>▶  OUTBOUND (OB) — Processus et UPH</t>
  </si>
  <si>
    <t>Picking</t>
  </si>
  <si>
    <t>Case pick Wide Aisle (C1)</t>
  </si>
  <si>
    <t>80% WA × 99,5% carton pick (Flow Str.)</t>
  </si>
  <si>
    <t>Case pick VNA (C6)</t>
  </si>
  <si>
    <t>20% VNA × 99,5% carton pick (Flow Str.)</t>
  </si>
  <si>
    <t>Pallet Pick (C5)</t>
  </si>
  <si>
    <t>0,5% pallet pick (Flow Str.)</t>
  </si>
  <si>
    <t>Sorting</t>
  </si>
  <si>
    <t>RC Sort Small, Manual (piéton)</t>
  </si>
  <si>
    <t>60,9% small × 30% sorting flow (Flow Str.)</t>
  </si>
  <si>
    <t>RC Sort Medium, Manual (piéton)</t>
  </si>
  <si>
    <t>38,8% medium × 30% sorting flow</t>
  </si>
  <si>
    <t>RC Sort Large, Manual (piéton)</t>
  </si>
  <si>
    <t>0,3% large × 30% sorting flow</t>
  </si>
  <si>
    <t>Palletisation</t>
  </si>
  <si>
    <t>Palletization of Cases (piéton)</t>
  </si>
  <si>
    <t>44,2% cartons palletisés (Flow Str.)</t>
  </si>
  <si>
    <t>Palletization of Totes (piéton)</t>
  </si>
  <si>
    <t>bac</t>
  </si>
  <si>
    <t>29,75% totes  ·  1 bac = 13 u (Paralog)</t>
  </si>
  <si>
    <t>Perfect Pallets (C5)</t>
  </si>
  <si>
    <t>10% perfect pallets (Flow Str.)</t>
  </si>
  <si>
    <t>Staging</t>
  </si>
  <si>
    <t>Staging Pallet (C1)</t>
  </si>
  <si>
    <t>95% pal × 85% palletized volume</t>
  </si>
  <si>
    <t>Staging Loose Load (piéton)</t>
  </si>
  <si>
    <t>5% loose load (Flow Str.)</t>
  </si>
  <si>
    <t>Chargement</t>
  </si>
  <si>
    <t>Loading Pallet (C1)</t>
  </si>
  <si>
    <t>Loading Loose Load (piéton)</t>
  </si>
  <si>
    <t>Support OB</t>
  </si>
  <si>
    <t>OB Problem Solve (piéton)</t>
  </si>
  <si>
    <t>100% flux OB</t>
  </si>
  <si>
    <t>OB Lead/PA (piéton)</t>
  </si>
  <si>
    <t>Ship Dock (piéton)</t>
  </si>
  <si>
    <t>▶  RÉCAPITULATIF &amp; CALCUL TPH  —  ETP × UPH × H_shift = Capacity</t>
  </si>
  <si>
    <t>UPH IB (calculé)</t>
  </si>
  <si>
    <t>UPH OB (calculé)</t>
  </si>
  <si>
    <t>Heures / shift SEM</t>
  </si>
  <si>
    <t>Heures / shift SAT</t>
  </si>
  <si>
    <t>Heures / shift DIM</t>
  </si>
  <si>
    <t>Absentéisme</t>
  </si>
  <si>
    <t>ETP IB</t>
  </si>
  <si>
    <t>H/shift</t>
  </si>
  <si>
    <t>ETP OB</t>
  </si>
  <si>
    <t>FARMASORT — Calcul ETP Onboarding Inbound · TPH Global = 432,9 u/h/pers</t>
  </si>
  <si>
    <t>S37→S53 2026 · Ramp-up Farmasort · Jaune = cellules modifiables</t>
  </si>
  <si>
    <t>TPH Inbound (u/h/pers)</t>
  </si>
  <si>
    <t>Heures SEM</t>
  </si>
  <si>
    <t>h/shift</t>
  </si>
  <si>
    <t>Heures SAT</t>
  </si>
  <si>
    <t>Heures DIM</t>
  </si>
  <si>
    <t>%</t>
  </si>
  <si>
    <t>Semaine</t>
  </si>
  <si>
    <t>IB Cartons
(RFQ)</t>
  </si>
  <si>
    <t>IB Unités
(×9)</t>
  </si>
  <si>
    <t>ETP IB
théo. RFQ</t>
  </si>
  <si>
    <t>H/sem.
(ETP×45h)</t>
  </si>
  <si>
    <t>Capacity brute
(H×TPH)</t>
  </si>
  <si>
    <t>Capacity nette
(-abs)</t>
  </si>
  <si>
    <t>Besoin ETP
réel</t>
  </si>
  <si>
    <t>Δ Over/Under
(théo-réel)</t>
  </si>
  <si>
    <t>% Charge</t>
  </si>
  <si>
    <t>S37</t>
  </si>
  <si>
    <t>S38</t>
  </si>
  <si>
    <t>S39</t>
  </si>
  <si>
    <t>S40</t>
  </si>
  <si>
    <t>S41</t>
  </si>
  <si>
    <t>S42</t>
  </si>
  <si>
    <t>S43</t>
  </si>
  <si>
    <t>S44</t>
  </si>
  <si>
    <t>S45</t>
  </si>
  <si>
    <t>S46</t>
  </si>
  <si>
    <t>S47</t>
  </si>
  <si>
    <t>S48</t>
  </si>
  <si>
    <t>S49</t>
  </si>
  <si>
    <t>S50</t>
  </si>
  <si>
    <t>S51</t>
  </si>
  <si>
    <t>S52</t>
  </si>
  <si>
    <t>S53</t>
  </si>
  <si>
    <t>TOTAL</t>
  </si>
  <si>
    <t>Métier</t>
  </si>
  <si>
    <t>Caces</t>
  </si>
  <si>
    <t>Libellé AMZ template</t>
  </si>
  <si>
    <t>Productivité</t>
  </si>
  <si>
    <t>Unité</t>
  </si>
  <si>
    <t>C1</t>
  </si>
  <si>
    <t>NVF Unload Productivity - Pallets</t>
  </si>
  <si>
    <t>Déchargement vrac camion</t>
  </si>
  <si>
    <t>piéton</t>
  </si>
  <si>
    <t>NVF Unload loose load: parcel - Cartons</t>
  </si>
  <si>
    <t>Déchargement vrac container</t>
  </si>
  <si>
    <t>NVF Unload loose load: container - Cartons</t>
  </si>
  <si>
    <t>Receive Support</t>
  </si>
  <si>
    <t>unité</t>
  </si>
  <si>
    <t>Prep receive - Small</t>
  </si>
  <si>
    <t>Prep receive - Medium</t>
  </si>
  <si>
    <t>Prep receive - Large</t>
  </si>
  <si>
    <t>Decant Non-TI</t>
  </si>
  <si>
    <t>C6</t>
  </si>
  <si>
    <t>Stockage pal</t>
  </si>
  <si>
    <t>C5</t>
  </si>
  <si>
    <t>Réappro pal</t>
  </si>
  <si>
    <t>Réappro dyna</t>
  </si>
  <si>
    <t>Picking carton rack</t>
  </si>
  <si>
    <t>Case pick Wide Aisle</t>
  </si>
  <si>
    <t>Picking carton VNA</t>
  </si>
  <si>
    <t>Case pick VNA</t>
  </si>
  <si>
    <t>Picking pal</t>
  </si>
  <si>
    <t>Pallet Pick</t>
  </si>
  <si>
    <t>Sorter</t>
  </si>
  <si>
    <t>Tri manuel - Small</t>
  </si>
  <si>
    <t>RC Sort Small, Manual</t>
  </si>
  <si>
    <t>Tri manuel - Medium</t>
  </si>
  <si>
    <t>RC Sort Medium, Manual</t>
  </si>
  <si>
    <t>Tri manuel - Large</t>
  </si>
  <si>
    <t>RC Sort Large, Manual</t>
  </si>
  <si>
    <t>Paletisation</t>
  </si>
  <si>
    <t>Paletisation carton</t>
  </si>
  <si>
    <t>Palletization of Cases</t>
  </si>
  <si>
    <t>Paletisation bac</t>
  </si>
  <si>
    <t>Palletization of Totes</t>
  </si>
  <si>
    <t>Mise à quai</t>
  </si>
  <si>
    <t>Mise à quai pal</t>
  </si>
  <si>
    <t>Staging Pallet</t>
  </si>
  <si>
    <t>Mise à quai vrac</t>
  </si>
  <si>
    <t>Staging Loose Load</t>
  </si>
  <si>
    <t>cartons/bac</t>
  </si>
  <si>
    <t>Chargement pal</t>
  </si>
  <si>
    <t>Loading Pallet</t>
  </si>
  <si>
    <t>Chargement vrac</t>
  </si>
  <si>
    <t>Loading Loose Load</t>
  </si>
  <si>
    <t>PB solve</t>
  </si>
  <si>
    <t>PB solve IN</t>
  </si>
  <si>
    <t>PB solve OUT</t>
  </si>
  <si>
    <t>Team lead</t>
  </si>
  <si>
    <t>Team lead IN</t>
  </si>
  <si>
    <t>TO Problem Solve</t>
  </si>
  <si>
    <t>Team lead OUT</t>
  </si>
  <si>
    <t>TO Lead/PA</t>
  </si>
  <si>
    <t>WEB</t>
  </si>
  <si>
    <t>Lundi</t>
  </si>
  <si>
    <t>Mardi</t>
  </si>
  <si>
    <t>Mercredi</t>
  </si>
  <si>
    <t>Jeudi</t>
  </si>
  <si>
    <t>Vendredi</t>
  </si>
  <si>
    <t>Samedi</t>
  </si>
  <si>
    <t>Dimanche</t>
  </si>
  <si>
    <t>Effectif Total SEM</t>
  </si>
  <si>
    <t>Effectif Total SDL</t>
  </si>
  <si>
    <t>Renfort IN &gt; OUT</t>
  </si>
  <si>
    <t>Renfort GDS &gt; OUT</t>
  </si>
  <si>
    <t>AM-AT</t>
  </si>
  <si>
    <t>CP -Recup -Repos</t>
  </si>
  <si>
    <t>Formation</t>
  </si>
  <si>
    <t>Other</t>
  </si>
  <si>
    <t>Total effectif</t>
  </si>
  <si>
    <t>Sous-Total SDL</t>
  </si>
  <si>
    <t>Capacity Global</t>
  </si>
  <si>
    <t>Capacity Web Wk+1</t>
  </si>
  <si>
    <t>OverStaff / Understaff</t>
  </si>
  <si>
    <t>Capacity VRET Wk+1</t>
  </si>
  <si>
    <t>Effectif Vret</t>
  </si>
  <si>
    <t>Besoin réel</t>
  </si>
  <si>
    <t>TPH</t>
  </si>
  <si>
    <t xml:space="preserve">Heure </t>
  </si>
  <si>
    <t>Heure SAT</t>
  </si>
  <si>
    <t>Heure SUN</t>
  </si>
  <si>
    <t>Heure MON/TUE</t>
  </si>
  <si>
    <t xml:space="preserve">Absenteisme </t>
  </si>
  <si>
    <t>O1</t>
  </si>
  <si>
    <t>Effectif total</t>
  </si>
  <si>
    <t>Capacity O1</t>
  </si>
  <si>
    <t>Référentiel Productivités IB — Toutes en unités/h</t>
  </si>
  <si>
    <t>→ u/h</t>
  </si>
  <si>
    <t>TPH GLOBAL IB</t>
  </si>
  <si>
    <t>unités/h/pers</t>
  </si>
  <si>
    <t>Productivité Units</t>
  </si>
  <si>
    <t>Unité
de base</t>
  </si>
  <si>
    <t>TPH OB  =  ETP_OB × UPH_OB × H_shift × 0,9 (abs)</t>
  </si>
  <si>
    <t>TPH IB  =  ETP_IB × UPH_IB × H_shift × 0,9 (abs)</t>
  </si>
  <si>
    <t>Unité / pal</t>
  </si>
  <si>
    <t>Carton / pal</t>
  </si>
  <si>
    <t>unité / carton</t>
  </si>
  <si>
    <t>carton / cage</t>
  </si>
  <si>
    <t>bac / pal</t>
  </si>
  <si>
    <t>unité / bac</t>
  </si>
  <si>
    <t>Mono pal</t>
  </si>
  <si>
    <t>Multi pal</t>
  </si>
  <si>
    <t>Vrac cam</t>
  </si>
  <si>
    <t>Vrac cont</t>
  </si>
  <si>
    <t>Perfect pal</t>
  </si>
  <si>
    <t>Each Receive</t>
  </si>
  <si>
    <t>Prep-Receive</t>
  </si>
  <si>
    <t>Auto-Receive</t>
  </si>
  <si>
    <t>Each, Small</t>
  </si>
  <si>
    <t>Each, Medium</t>
  </si>
  <si>
    <t>Each, Large</t>
  </si>
  <si>
    <t>Stockage rack</t>
  </si>
  <si>
    <t>Stockage VNA</t>
  </si>
  <si>
    <t>part</t>
  </si>
  <si>
    <t>In cartons</t>
  </si>
  <si>
    <t>IN</t>
  </si>
  <si>
    <t>Total cartons</t>
  </si>
  <si>
    <t>Total each</t>
  </si>
  <si>
    <t>Out cartons</t>
  </si>
  <si>
    <t>OUT</t>
  </si>
  <si>
    <t>Picking carton</t>
  </si>
  <si>
    <t>Total picking carton</t>
  </si>
  <si>
    <t>Sorting Small</t>
  </si>
  <si>
    <t>Total sorting</t>
  </si>
  <si>
    <t>Sorting Medium</t>
  </si>
  <si>
    <t>Sorting Large</t>
  </si>
  <si>
    <t>Paletisation VNA</t>
  </si>
  <si>
    <t>Paletisation bacs</t>
  </si>
  <si>
    <t>Vrac</t>
  </si>
  <si>
    <t>Process Path</t>
  </si>
  <si>
    <t>Item</t>
  </si>
  <si>
    <t>Detail</t>
  </si>
  <si>
    <t>Assumption</t>
  </si>
  <si>
    <t>Comments</t>
  </si>
  <si>
    <t>Inbound</t>
  </si>
  <si>
    <t>New vendor Freight</t>
  </si>
  <si>
    <t>% Of total IB flow</t>
  </si>
  <si>
    <t>Transfers in</t>
  </si>
  <si>
    <t>% Mono/Mass ASIN Pallet Unload</t>
  </si>
  <si>
    <t>% Mixed Pallet Unload</t>
  </si>
  <si>
    <t>% Loose-load Parcel Freight Unload</t>
  </si>
  <si>
    <t>% Loose-load (incl. Ocean Freight Container) Unload</t>
  </si>
  <si>
    <t>% of New Vendor Freight going through Cross Dock</t>
  </si>
  <si>
    <t>% Of total NVF flow</t>
  </si>
  <si>
    <t>% of Transfer In going through Cross Dock</t>
  </si>
  <si>
    <t>% Of total TSI flow</t>
  </si>
  <si>
    <t>% of Total IB going through Cross Dock</t>
  </si>
  <si>
    <t>% Each Receive</t>
  </si>
  <si>
    <t>% Prep-Receive</t>
  </si>
  <si>
    <t>% Case Receive</t>
  </si>
  <si>
    <t>% Auto-Receive</t>
  </si>
  <si>
    <t>% Pallet Receive</t>
  </si>
  <si>
    <t>% Each, Small</t>
  </si>
  <si>
    <t>% Of total Each Receive flow</t>
  </si>
  <si>
    <t>% Each, Medium</t>
  </si>
  <si>
    <t>% Each, Large</t>
  </si>
  <si>
    <t>% Each, Heavy Bulky</t>
  </si>
  <si>
    <t>% Decant Eaches into Totes, NVF</t>
  </si>
  <si>
    <t>% Decant Eaches into Totes, TSI</t>
  </si>
  <si>
    <t>% Stow Pallets to Racks</t>
  </si>
  <si>
    <t>% Stow Cartons to Shelves</t>
  </si>
  <si>
    <t>% Case Transfer In</t>
  </si>
  <si>
    <t>% Of total Transfer In flow</t>
  </si>
  <si>
    <t>% Pallet Transfer In</t>
  </si>
  <si>
    <t>% Ratio Cases Replenished versus total IB</t>
  </si>
  <si>
    <t>% Ratio Pallets Replenished versus total IB</t>
  </si>
  <si>
    <t>Number of units per pallet</t>
  </si>
  <si>
    <t>Number of cartons per pallet</t>
  </si>
  <si>
    <t>Number of units per carton</t>
  </si>
  <si>
    <t>Average Cartons Count per palletized truck</t>
  </si>
  <si>
    <t>Average Cartons Count per loose-load container</t>
  </si>
  <si>
    <t>% Loose-loaded trailers</t>
  </si>
  <si>
    <t>% of containers, not units</t>
  </si>
  <si>
    <t>% Palletized trailers</t>
  </si>
  <si>
    <t>Average number of pallets per truck</t>
  </si>
  <si>
    <t>Pallets to be returned to supplier (pallet swap)</t>
  </si>
  <si>
    <t>% of Food and Pet Food</t>
  </si>
  <si>
    <t>% of Drop &amp; Swap</t>
  </si>
  <si>
    <t>% of Live Unloading</t>
  </si>
  <si>
    <t>Outbound</t>
  </si>
  <si>
    <t>% Volume sent as fulfillment</t>
  </si>
  <si>
    <t>% Of total OB flow</t>
  </si>
  <si>
    <t>% of OB as Bulk Outbound Fulfillment</t>
  </si>
  <si>
    <t>% Volume sent via transfer out, Pick</t>
  </si>
  <si>
    <t>% Volume sent as transfer out, Cross Dock</t>
  </si>
  <si>
    <t>Number of units per pallet, Fulfillment</t>
  </si>
  <si>
    <t>OB volume, Bulk Outbound Fulfillment</t>
  </si>
  <si>
    <t>Number of cartons per pallet, Fulfillment</t>
  </si>
  <si>
    <t>No Pallet dispatch - will all be loose loaded or totes</t>
  </si>
  <si>
    <t>Number of units per carton, Fulfillment</t>
  </si>
  <si>
    <t>Number of units per pallet, TSO</t>
  </si>
  <si>
    <t>TSO volume</t>
  </si>
  <si>
    <t>Number of cartons per pallet, TSO</t>
  </si>
  <si>
    <t>Number of units per carton, TSO</t>
  </si>
  <si>
    <t>Number of cases per cage</t>
  </si>
  <si>
    <t>Number of totes per pallet</t>
  </si>
  <si>
    <t>Number of units per tote</t>
  </si>
  <si>
    <t>% Volume sent for SIOC testing</t>
  </si>
  <si>
    <t>% OB volume, Bulk Outbound Fulfillment</t>
  </si>
  <si>
    <t>Share of TSO Cartons going through Presort Case</t>
  </si>
  <si>
    <t>% Of total TO flow</t>
  </si>
  <si>
    <t>Share of TSO Cartons going through RC Sort Each, thereof</t>
  </si>
  <si>
    <t>% Of total TO flow RC Each Sort, Manual</t>
  </si>
  <si>
    <t>RC Sort Heavy Bulky, Manual</t>
  </si>
  <si>
    <t>RC Sort Small, UIS 5lbs</t>
  </si>
  <si>
    <t>% Of total TO flow RC Each Sort, UIS 5lbs</t>
  </si>
  <si>
    <t>RC Sort Medium, UIS 5lbs</t>
  </si>
  <si>
    <t>RC Sort Large, UIS 5lbs</t>
  </si>
  <si>
    <t>RC Sort Heavy Bulky, UIS 5lbs</t>
  </si>
  <si>
    <t>RC Sort Small, UIS 20lbs</t>
  </si>
  <si>
    <t>% Of total TO flow RC Each Sort, UIS 20lbs</t>
  </si>
  <si>
    <t>RC Sort Medium, UIS 20lbs</t>
  </si>
  <si>
    <t>RC Sort Large, UIS 20lbs</t>
  </si>
  <si>
    <t>RC Sort Heavy Bulky, UIS 20lbs</t>
  </si>
  <si>
    <t>% Of RC Volume</t>
  </si>
  <si>
    <t>UIS 5lbs</t>
  </si>
  <si>
    <t>% Of RC UIS Volume</t>
  </si>
  <si>
    <t>UIS 20 lbs</t>
  </si>
  <si>
    <t>RC Sort Small</t>
  </si>
  <si>
    <t>% Of total TO flow RC Each Sort</t>
  </si>
  <si>
    <t>RC Sort Medium</t>
  </si>
  <si>
    <t>RC Sort Large</t>
  </si>
  <si>
    <t>RC Sort Heavy Bulky</t>
  </si>
  <si>
    <t>Tote Wrangling</t>
  </si>
  <si>
    <t xml:space="preserve">% Pick Pallets, thereof: </t>
  </si>
  <si>
    <t>% Pick Pallets from Racks, VNA</t>
  </si>
  <si>
    <t>% Of total TO Rack flow</t>
  </si>
  <si>
    <t>% Pick Pallets from Racks, WA</t>
  </si>
  <si>
    <t xml:space="preserve">% Pick Cartons, thereof: </t>
  </si>
  <si>
    <t>% Pick Cartons from VNA</t>
  </si>
  <si>
    <t>% Of total TO Case flow</t>
  </si>
  <si>
    <t>% Pick Cartons from WA</t>
  </si>
  <si>
    <t>Share of total volume transferred out in Cases</t>
  </si>
  <si>
    <t>Share of total volume transferred out in Totes</t>
  </si>
  <si>
    <t>% of Volume not in perfect pallets (Cases and Totes), thereof</t>
  </si>
  <si>
    <t>Palletized Volume</t>
  </si>
  <si>
    <t>Thereof palletized from VNA</t>
  </si>
  <si>
    <t>Thereof in palletized Cases</t>
  </si>
  <si>
    <t>Thereof in palletized Totes</t>
  </si>
  <si>
    <t>Perfect Pallets</t>
  </si>
  <si>
    <t>Loose Load</t>
  </si>
  <si>
    <t>Palletized Cases: Picked from VNA</t>
  </si>
  <si>
    <t>Palletized Cases: Cases Palletized from High Racks</t>
  </si>
  <si>
    <t>Share of inventory handoff</t>
  </si>
  <si>
    <t>Share of inventory transferred out</t>
  </si>
  <si>
    <t>Number of outbound lanes (destination FCs)</t>
  </si>
  <si>
    <t>OB Lanes for TSO plus Bulk Fulfillment (in 18 Each sortation manual)</t>
  </si>
  <si>
    <t>Loading equipment</t>
  </si>
  <si>
    <t>Pallet</t>
  </si>
  <si>
    <t>Loose-load</t>
  </si>
  <si>
    <t>Share Decant over total Outbound</t>
  </si>
  <si>
    <t>&amp; of Live Loading</t>
  </si>
  <si>
    <t>Opening hours required per week day</t>
  </si>
  <si>
    <t>Sunday</t>
  </si>
  <si>
    <t>3 shifts</t>
  </si>
  <si>
    <t>Shift proposal expected as part of solution design.</t>
  </si>
  <si>
    <t>Monday</t>
  </si>
  <si>
    <t>Work backwards from required peak capacity (inbound &amp; outbound)</t>
  </si>
  <si>
    <t>Tuesday</t>
  </si>
  <si>
    <t>Assess machine capacity requirements with different shift patterns</t>
  </si>
  <si>
    <t>Wednesday</t>
  </si>
  <si>
    <t>Thursday</t>
  </si>
  <si>
    <t>Friday</t>
  </si>
  <si>
    <t>Saturday</t>
  </si>
  <si>
    <t>Vendor Returns &amp; FRACS</t>
  </si>
  <si>
    <t xml:space="preserve"> Inventory Disposal only</t>
  </si>
  <si>
    <t>Expiry &amp; Shelf Life Registration</t>
  </si>
  <si>
    <t>Help</t>
  </si>
  <si>
    <t>Operationnal Metrics</t>
  </si>
  <si>
    <t>Units</t>
  </si>
  <si>
    <t>Input by Vendor</t>
  </si>
  <si>
    <t>Key Figures</t>
  </si>
  <si>
    <t>Peak net product cube (peak week)</t>
  </si>
  <si>
    <t>m3</t>
  </si>
  <si>
    <t>Calculated</t>
  </si>
  <si>
    <t>Peak operation surface (peak week)</t>
  </si>
  <si>
    <t>m2</t>
  </si>
  <si>
    <t>Assumptions - Filled by Amazon</t>
  </si>
  <si>
    <t>Density</t>
  </si>
  <si>
    <t>m3 / m2</t>
  </si>
  <si>
    <t>Fill Rate</t>
  </si>
  <si>
    <t>Peak Fill Rate (Shelf)</t>
  </si>
  <si>
    <t>Peak Fill Rate (Pallet)</t>
  </si>
  <si>
    <t>Broken Pallets Share</t>
  </si>
  <si>
    <t xml:space="preserve">% of Inbound Unloaded in Pallets </t>
  </si>
  <si>
    <t>% of Inbound Unloaded in Cartons</t>
  </si>
  <si>
    <t>Storage share</t>
  </si>
  <si>
    <t>Share units stowed/picked - Pallets to racks</t>
  </si>
  <si>
    <t>Share units stowed/picked - Single items to shelves</t>
  </si>
  <si>
    <r>
      <t xml:space="preserve">Total </t>
    </r>
    <r>
      <rPr>
        <b/>
        <i/>
        <u/>
        <sz val="11"/>
        <color theme="1"/>
        <rFont val="Calibri"/>
        <family val="2"/>
        <scheme val="minor"/>
      </rPr>
      <t>Pallets</t>
    </r>
    <r>
      <rPr>
        <i/>
        <sz val="11"/>
        <color theme="1"/>
        <rFont val="Calibri"/>
        <family val="2"/>
        <scheme val="minor"/>
      </rPr>
      <t xml:space="preserve"> Unloaded to Inbound Dock Per Man Hour</t>
    </r>
  </si>
  <si>
    <t>Total Cartons Unloaded to Inbound Dock Per Man Hour</t>
  </si>
  <si>
    <t>Receive Dock</t>
  </si>
  <si>
    <r>
      <t xml:space="preserve">Total </t>
    </r>
    <r>
      <rPr>
        <b/>
        <i/>
        <u/>
        <sz val="11"/>
        <color theme="1"/>
        <rFont val="Calibri"/>
        <family val="2"/>
        <scheme val="minor"/>
      </rPr>
      <t>Units</t>
    </r>
    <r>
      <rPr>
        <i/>
        <sz val="11"/>
        <color theme="1"/>
        <rFont val="Calibri"/>
        <family val="2"/>
        <scheme val="minor"/>
      </rPr>
      <t xml:space="preserve"> Received Per Man Hour</t>
    </r>
  </si>
  <si>
    <t>Each Receive - Heavy/Bulky</t>
  </si>
  <si>
    <t>Total Case Received Per Man Hour</t>
  </si>
  <si>
    <t>LP Receive</t>
  </si>
  <si>
    <t>Total Cartons Received Per Man Hour</t>
  </si>
  <si>
    <r>
      <t xml:space="preserve">Total </t>
    </r>
    <r>
      <rPr>
        <b/>
        <i/>
        <u/>
        <sz val="11"/>
        <color theme="1"/>
        <rFont val="Calibri"/>
        <family val="2"/>
        <scheme val="minor"/>
      </rPr>
      <t>Pallets</t>
    </r>
    <r>
      <rPr>
        <i/>
        <sz val="11"/>
        <color theme="1"/>
        <rFont val="Calibri"/>
        <family val="2"/>
        <scheme val="minor"/>
      </rPr>
      <t xml:space="preserve"> Received Per Man Hour</t>
    </r>
  </si>
  <si>
    <r>
      <t xml:space="preserve">Total </t>
    </r>
    <r>
      <rPr>
        <b/>
        <i/>
        <u/>
        <sz val="11"/>
        <color theme="1"/>
        <rFont val="Calibri"/>
        <family val="2"/>
        <scheme val="minor"/>
      </rPr>
      <t>Units</t>
    </r>
    <r>
      <rPr>
        <i/>
        <sz val="11"/>
        <color theme="1"/>
        <rFont val="Calibri"/>
        <family val="2"/>
        <scheme val="minor"/>
      </rPr>
      <t xml:space="preserve"> Prep Per Man Hour</t>
    </r>
  </si>
  <si>
    <t>Prep Recorder - Heavy/Bulky</t>
  </si>
  <si>
    <t>Total Units decanted in totes (no sortation)</t>
  </si>
  <si>
    <t>Total Cartons Stowed per Man Hour</t>
  </si>
  <si>
    <r>
      <t xml:space="preserve">Total </t>
    </r>
    <r>
      <rPr>
        <b/>
        <i/>
        <u/>
        <sz val="11"/>
        <color theme="1"/>
        <rFont val="Calibri"/>
        <family val="2"/>
        <scheme val="minor"/>
      </rPr>
      <t>Pallets</t>
    </r>
    <r>
      <rPr>
        <i/>
        <sz val="11"/>
        <color theme="1"/>
        <rFont val="Calibri"/>
        <family val="2"/>
        <scheme val="minor"/>
      </rPr>
      <t xml:space="preserve"> Stowed per Man Hour</t>
    </r>
  </si>
  <si>
    <t>RSR Support</t>
  </si>
  <si>
    <t>TSI Unload and Scan Productivity - Pallets</t>
  </si>
  <si>
    <t>TSI Unload and Scan loose load: parcel - Cartons</t>
  </si>
  <si>
    <t>TSI Unload and Scan loose load: container - Cartons</t>
  </si>
  <si>
    <t>Transfer In Support</t>
  </si>
  <si>
    <t>Total Cartons Transferred In per Man Hour</t>
  </si>
  <si>
    <t>Case Transfer In</t>
  </si>
  <si>
    <t>Total Cartons Stowed In Per Man Hour</t>
  </si>
  <si>
    <t>Pallet Transfer In</t>
  </si>
  <si>
    <r>
      <t xml:space="preserve">Total </t>
    </r>
    <r>
      <rPr>
        <b/>
        <i/>
        <u/>
        <sz val="11"/>
        <color theme="1"/>
        <rFont val="Calibri"/>
        <family val="2"/>
        <scheme val="minor"/>
      </rPr>
      <t>Pallets</t>
    </r>
    <r>
      <rPr>
        <i/>
        <sz val="11"/>
        <color theme="1"/>
        <rFont val="Calibri"/>
        <family val="2"/>
        <scheme val="minor"/>
      </rPr>
      <t xml:space="preserve"> Stowed In Per Man Hour</t>
    </r>
  </si>
  <si>
    <t>Transfer In Decant</t>
  </si>
  <si>
    <t>Total Cartons replenished per Man Hour</t>
  </si>
  <si>
    <r>
      <t xml:space="preserve">Total </t>
    </r>
    <r>
      <rPr>
        <b/>
        <i/>
        <u/>
        <sz val="11"/>
        <color theme="1"/>
        <rFont val="Calibri"/>
        <family val="2"/>
        <scheme val="minor"/>
      </rPr>
      <t>Pallets</t>
    </r>
    <r>
      <rPr>
        <i/>
        <sz val="11"/>
        <color theme="1"/>
        <rFont val="Calibri"/>
        <family val="2"/>
        <scheme val="minor"/>
      </rPr>
      <t xml:space="preserve"> replenished per Man Hour</t>
    </r>
  </si>
  <si>
    <t>Total Cartons per IB Problem Solve Hour</t>
  </si>
  <si>
    <t>Total Cartons per IB Lead Hour</t>
  </si>
  <si>
    <t>RC Presort Cases</t>
  </si>
  <si>
    <t>Total Cartons per Man Hour</t>
  </si>
  <si>
    <r>
      <t xml:space="preserve">Total </t>
    </r>
    <r>
      <rPr>
        <b/>
        <i/>
        <u/>
        <sz val="11"/>
        <color theme="1"/>
        <rFont val="Calibri"/>
        <family val="2"/>
        <scheme val="minor"/>
      </rPr>
      <t>Units</t>
    </r>
    <r>
      <rPr>
        <i/>
        <sz val="11"/>
        <color theme="1"/>
        <rFont val="Calibri"/>
        <family val="2"/>
        <scheme val="minor"/>
      </rPr>
      <t xml:space="preserve"> per Man Hour</t>
    </r>
  </si>
  <si>
    <t>Manual Sort Share</t>
  </si>
  <si>
    <t>Share versus RC Sort Volume</t>
  </si>
  <si>
    <t>UIS Sort Share</t>
  </si>
  <si>
    <t>RC Sort - Small</t>
  </si>
  <si>
    <t>RC Sort - Medium</t>
  </si>
  <si>
    <t>RC Sort - Large</t>
  </si>
  <si>
    <t>RC Sort - Heavy/Bulky</t>
  </si>
  <si>
    <r>
      <t xml:space="preserve">Total </t>
    </r>
    <r>
      <rPr>
        <b/>
        <i/>
        <u/>
        <sz val="11"/>
        <color theme="1"/>
        <rFont val="Calibri"/>
        <family val="2"/>
        <scheme val="minor"/>
      </rPr>
      <t>Totes</t>
    </r>
    <r>
      <rPr>
        <i/>
        <sz val="11"/>
        <color theme="1"/>
        <rFont val="Calibri"/>
        <family val="2"/>
        <scheme val="minor"/>
      </rPr>
      <t xml:space="preserve"> per Man Hour</t>
    </r>
  </si>
  <si>
    <t>Total Cartons Picked Per Man Hour</t>
  </si>
  <si>
    <t>Case Pick</t>
  </si>
  <si>
    <r>
      <t xml:space="preserve">Total </t>
    </r>
    <r>
      <rPr>
        <b/>
        <i/>
        <u/>
        <sz val="11"/>
        <color theme="1"/>
        <rFont val="Calibri"/>
        <family val="2"/>
        <scheme val="minor"/>
      </rPr>
      <t>Pallets</t>
    </r>
    <r>
      <rPr>
        <i/>
        <sz val="11"/>
        <color theme="1"/>
        <rFont val="Calibri"/>
        <family val="2"/>
        <scheme val="minor"/>
      </rPr>
      <t xml:space="preserve"> Picked Per Man Hour</t>
    </r>
  </si>
  <si>
    <t>Pick Support</t>
  </si>
  <si>
    <t>Inventory Hand-Off</t>
  </si>
  <si>
    <t>Total Containers Handed Off Per Man Hour</t>
  </si>
  <si>
    <t>Total Cases Palletized Per Man Hour</t>
  </si>
  <si>
    <t>Total Totes Palletized Per Man Hour</t>
  </si>
  <si>
    <r>
      <t xml:space="preserve">Total </t>
    </r>
    <r>
      <rPr>
        <b/>
        <i/>
        <u/>
        <sz val="11"/>
        <color theme="1"/>
        <rFont val="Calibri"/>
        <family val="2"/>
        <scheme val="minor"/>
      </rPr>
      <t>Pallets</t>
    </r>
    <r>
      <rPr>
        <i/>
        <sz val="11"/>
        <color theme="1"/>
        <rFont val="Calibri"/>
        <family val="2"/>
        <scheme val="minor"/>
      </rPr>
      <t xml:space="preserve"> Staged Per Man Hour</t>
    </r>
  </si>
  <si>
    <t>Total Container Staged Per Man Hour</t>
  </si>
  <si>
    <r>
      <t xml:space="preserve">Total </t>
    </r>
    <r>
      <rPr>
        <b/>
        <i/>
        <u/>
        <sz val="11"/>
        <color theme="1"/>
        <rFont val="Calibri"/>
        <family val="2"/>
        <scheme val="minor"/>
      </rPr>
      <t>Pallets</t>
    </r>
    <r>
      <rPr>
        <i/>
        <sz val="11"/>
        <color theme="1"/>
        <rFont val="Calibri"/>
        <family val="2"/>
        <scheme val="minor"/>
      </rPr>
      <t xml:space="preserve"> Loaded into outbound truck Per Man Hour</t>
    </r>
  </si>
  <si>
    <t>Total Container loaded into outbound truck Per Man Hour</t>
  </si>
  <si>
    <t>Pick - Total</t>
  </si>
  <si>
    <t>Pack Singles - Total</t>
  </si>
  <si>
    <t>OB Problem Solve</t>
  </si>
  <si>
    <t>OB Lead/PA</t>
  </si>
  <si>
    <t>Ship Dock</t>
  </si>
  <si>
    <t>SIOC Testing</t>
  </si>
  <si>
    <t>Total Cartons per Problem Solve Hour</t>
  </si>
  <si>
    <t>Total Cartons per OB Lead Hour</t>
  </si>
  <si>
    <t>ReLo and Others</t>
  </si>
  <si>
    <t>V-Return Pick - Total</t>
  </si>
  <si>
    <t>V-Return Pack - Total</t>
  </si>
  <si>
    <t>Total Cartons Packed Per Man Hour</t>
  </si>
  <si>
    <t>V-Return Support</t>
  </si>
  <si>
    <t>Total Cartons Per Support Man Hour</t>
  </si>
  <si>
    <t>IC/QA/CS</t>
  </si>
  <si>
    <r>
      <t xml:space="preserve">Total </t>
    </r>
    <r>
      <rPr>
        <b/>
        <i/>
        <u/>
        <sz val="11"/>
        <color theme="1"/>
        <rFont val="Calibri"/>
        <family val="2"/>
        <scheme val="minor"/>
      </rPr>
      <t xml:space="preserve">Throughput </t>
    </r>
    <r>
      <rPr>
        <i/>
        <sz val="11"/>
        <color theme="1"/>
        <rFont val="Calibri"/>
        <family val="2"/>
        <scheme val="minor"/>
      </rPr>
      <t>Cartons Per Support Man Hour</t>
    </r>
  </si>
  <si>
    <t>Throughput = IB+OB+TSO+Vret+Disposal</t>
  </si>
  <si>
    <t>Removal</t>
  </si>
  <si>
    <t>Inventory Disposal (pick, sort and load)</t>
  </si>
  <si>
    <t>Total Boxes Per Man Hour</t>
  </si>
  <si>
    <t xml:space="preserve">Inventory Disposal - Capacity per truck </t>
  </si>
  <si>
    <t xml:space="preserve">% flow
</t>
  </si>
  <si>
    <t xml:space="preserve">Heures
/ 1000 u
</t>
  </si>
  <si>
    <t xml:space="preserve">Nombre d'heures pour 1000 unités
</t>
  </si>
  <si>
    <t>Nombre d'heures pour 1000 unités</t>
  </si>
  <si>
    <t>TPH OUT</t>
  </si>
  <si>
    <t>30% stow carton × 99% NVF</t>
  </si>
  <si>
    <t>70% stow pallet × 99% NVF</t>
  </si>
  <si>
    <t>Source UPH : RFQ 3d.Productivities (Amazon)  ·  Source % flow : RFQ Flow Structure  ·  Base de calcul : CARTON  ·  1 pal = 41,2 cart  ·  1 bac = 13/9 cart  ·  1 unité = 1/9 cart  ·  Jaune = cellule modifiable</t>
  </si>
  <si>
    <t>MÉTHODE  :  UPH_cartons/h = UPH_natif × Facteur_vers_cartons  ·  Heures/1000 cart = (1000 × %flow × %eff) ÷ UPH_cartons  ·  UPH_global = 1000 ÷ Σ(Heures/1000 cart)  ·  TPH = UPH_global × ETP</t>
  </si>
  <si>
    <t>Facteur
→ cart</t>
  </si>
  <si>
    <t>UPH
en cart/h</t>
  </si>
  <si>
    <t>Heures
/ 1000 cart</t>
  </si>
  <si>
    <t>TOTAL HEURES / 1000 cartons IB  =  Σ(col I)</t>
  </si>
  <si>
    <t>TOTAL HEURES / 1000 cartons OB  =  Σ(col I)</t>
  </si>
  <si>
    <t>cartons / heure / personne</t>
  </si>
  <si>
    <t>cartons traités / heure · shift SEM</t>
  </si>
  <si>
    <t>A partir du fichier pharma, sort ETP, UPH, TPH. Je souhaite que tu me crées un Excel qui va me permettre de calculer le besoin en ETP réel.</t>
  </si>
  <si>
    <t xml:space="preserve">Dans ce fichier, tu vas venir récupérer les datas du besoin ETP créé par Achille et tu vas prendre les réelles datas que tu retrouves dans la RFQ que tu as déjà en Excel. Pour me créer une nouvelle feuille ou un Excel, à ta préférence, où on va venir calculer les ETP et bien différencier chaque poste en fonction des semaines. Et tout cela sera calculé notamment grâce à la flow structure et au volume prévisionnel futur.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</si>
</sst>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7">
    <numFmt numFmtId="42" formatCode="_-* #,##0\ &quot;€&quot;_-;\-* #,##0\ &quot;€&quot;_-;_-* &quot;-&quot;\ &quot;€&quot;_-;_-@_-"/>
    <numFmt numFmtId="41" formatCode="_-* #,##0_-;\-* #,##0_-;_-* &quot;-&quot;_-;_-@_-"/>
    <numFmt numFmtId="44" formatCode="_-* #,##0.00\ &quot;€&quot;_-;\-* #,##0.00\ &quot;€&quot;_-;_-* &quot;-&quot;??\ &quot;€&quot;_-;_-@_-"/>
    <numFmt numFmtId="43" formatCode="_-* #,##0.00_-;\-* #,##0.00_-;_-* &quot;-&quot;??_-;_-@_-"/>
    <numFmt numFmtId="164" formatCode="0.0"/>
    <numFmt numFmtId="165" formatCode="0.0%"/>
    <numFmt numFmtId="166" formatCode="\+0.0;\-0.0;\-"/>
    <numFmt numFmtId="167" formatCode="_(&quot;$&quot;* #,##0.00_);_(&quot;$&quot;* \(#,##0.00\);_(&quot;$&quot;* &quot;-&quot;??_);_(@_)"/>
    <numFmt numFmtId="168" formatCode="_-* #,##0.00\ _D_M_-;\-* #,##0.00\ _D_M_-;_-* &quot;-&quot;??\ _D_M_-;_-@_-"/>
    <numFmt numFmtId="169" formatCode="#,##0.0"/>
    <numFmt numFmtId="170" formatCode="_-* #,##0.00\ _€_-;\-* #,##0.00\ _€_-;_-* &quot;-&quot;??\ _€_-;_-@_-"/>
    <numFmt numFmtId="171" formatCode="[$-40C]mmm/yy;@"/>
    <numFmt numFmtId="172" formatCode="_-&quot;fl&quot;* #,##0.00_-;_-&quot;fl&quot;* #,##0.00\-;_-&quot;fl&quot;* &quot;-&quot;??_-;_-@_-"/>
    <numFmt numFmtId="173" formatCode="General_)"/>
    <numFmt numFmtId="174" formatCode="_-* #,##0.00\ [$€-1]_-;\-* #,##0.00\ [$€-1]_-;_-* &quot;-&quot;??\ [$€-1]_-"/>
    <numFmt numFmtId="175" formatCode="[$-F800]dddd\,\ mmmm\ dd\,\ yyyy"/>
    <numFmt numFmtId="176" formatCode="_-* #,##0.00\ &quot;DM&quot;_-;\-* #,##0.00\ &quot;DM&quot;_-;_-* &quot;-&quot;??\ &quot;DM&quot;_-;_-@_-"/>
    <numFmt numFmtId="177" formatCode="_(&quot;R$ &quot;* #,##0.00_);_(&quot;R$ &quot;* \(#,##0.00\);_(&quot;R$ &quot;* &quot;-&quot;??_);_(@_)"/>
    <numFmt numFmtId="178" formatCode="#,##0\ \ ;[Red]\(#,##0\)\ \ "/>
    <numFmt numFmtId="179" formatCode="0.000%;[Red]\(0.000%\)"/>
    <numFmt numFmtId="180" formatCode="0.000%"/>
    <numFmt numFmtId="181" formatCode="#,##0.00\ &quot;DM&quot;;\-#,##0.00\ &quot;DM&quot;"/>
    <numFmt numFmtId="182" formatCode="_-* #,##0.00\ [$€]_-;\-* #,##0.00\ [$€]_-;_-* &quot;-&quot;??\ [$€]_-;_-@_-"/>
    <numFmt numFmtId="183" formatCode="_-* #,##0.00\ _F_-;\-* #,##0.00\ _F_-;_-* &quot;-&quot;??\ _F_-;_-@_-"/>
    <numFmt numFmtId="184" formatCode="#,##0.000"/>
    <numFmt numFmtId="185" formatCode="0.000"/>
    <numFmt numFmtId="186" formatCode="_-* #,##0_-;\-* #,##0_-;_-* &quot;-&quot;??_-;_-@_-"/>
  </numFmts>
  <fonts count="136">
    <font>
      <sz val="11"/>
      <color theme="1"/>
      <name val="Calibri"/>
      <family val="2"/>
      <charset val="1"/>
    </font>
    <font>
      <sz val="11"/>
      <color theme="1"/>
      <name val="Calibri"/>
      <family val="2"/>
      <scheme val="minor"/>
    </font>
    <font>
      <b/>
      <sz val="13"/>
      <color rgb="FFFFFFFF"/>
      <name val="Calibri"/>
      <charset val="1"/>
    </font>
    <font>
      <i/>
      <sz val="9"/>
      <color rgb="FF5A6170"/>
      <name val="Calibri"/>
      <charset val="1"/>
    </font>
    <font>
      <sz val="9"/>
      <name val="Calibri"/>
      <charset val="1"/>
    </font>
    <font>
      <b/>
      <sz val="11"/>
      <color rgb="FF1A1FC8"/>
      <name val="Calibri"/>
      <charset val="1"/>
    </font>
    <font>
      <sz val="8"/>
      <color rgb="FF8A91A8"/>
      <name val="Calibri"/>
      <charset val="1"/>
    </font>
    <font>
      <b/>
      <sz val="9"/>
      <color rgb="FFFFFFFF"/>
      <name val="Calibri"/>
      <charset val="1"/>
    </font>
    <font>
      <sz val="9"/>
      <color rgb="FF2C2C2C"/>
      <name val="Calibri"/>
      <charset val="1"/>
    </font>
    <font>
      <sz val="9"/>
      <color rgb="FF5A6170"/>
      <name val="Calibri"/>
      <charset val="1"/>
    </font>
    <font>
      <b/>
      <sz val="9"/>
      <color rgb="FF1A1FC8"/>
      <name val="Calibri"/>
      <charset val="1"/>
    </font>
    <font>
      <b/>
      <sz val="11"/>
      <color rgb="FFFFFFFF"/>
      <name val="Calibri"/>
      <charset val="1"/>
    </font>
    <font>
      <b/>
      <sz val="10"/>
      <name val="Calibri"/>
      <charset val="1"/>
    </font>
    <font>
      <b/>
      <sz val="16"/>
      <color rgb="FFE8001D"/>
      <name val="Calibri"/>
      <charset val="1"/>
    </font>
    <font>
      <sz val="10"/>
      <name val="Calibri"/>
      <charset val="1"/>
    </font>
    <font>
      <b/>
      <sz val="10"/>
      <color rgb="FF1A1FC8"/>
      <name val="Calibri"/>
      <charset val="1"/>
    </font>
    <font>
      <b/>
      <sz val="8"/>
      <color rgb="FFFFFFFF"/>
      <name val="Calibri"/>
      <charset val="1"/>
    </font>
    <font>
      <b/>
      <sz val="9"/>
      <color rgb="FF1B2A5E"/>
      <name val="Calibri"/>
      <charset val="1"/>
    </font>
    <font>
      <b/>
      <sz val="9"/>
      <color rgb="FF1A7F3C"/>
      <name val="Calibri"/>
      <charset val="1"/>
    </font>
    <font>
      <b/>
      <sz val="12"/>
      <color rgb="FFFFFFFF"/>
      <name val="Calibri"/>
      <charset val="1"/>
    </font>
    <font>
      <b/>
      <sz val="10"/>
      <color rgb="FFFFFFFF"/>
      <name val="Calibri"/>
      <charset val="1"/>
    </font>
    <font>
      <b/>
      <sz val="14"/>
      <color rgb="FFE8001D"/>
      <name val="Calibri"/>
      <charset val="1"/>
    </font>
    <font>
      <b/>
      <sz val="11"/>
      <color theme="0"/>
      <name val="Calibri"/>
      <family val="2"/>
      <scheme val="minor"/>
    </font>
    <font>
      <b/>
      <sz val="11"/>
      <color theme="1"/>
      <name val="Calibri"/>
      <family val="2"/>
      <scheme val="minor"/>
    </font>
    <font>
      <u/>
      <sz val="11"/>
      <color theme="10"/>
      <name val="Calibri"/>
      <family val="2"/>
      <scheme val="minor"/>
    </font>
    <font>
      <sz val="24"/>
      <color theme="1"/>
      <name val="Calibri"/>
      <family val="2"/>
      <scheme val="minor"/>
    </font>
    <font>
      <b/>
      <sz val="11"/>
      <color indexed="8"/>
      <name val="Calibri"/>
      <family val="2"/>
    </font>
    <font>
      <sz val="11"/>
      <color indexed="8"/>
      <name val="Calibri"/>
      <family val="2"/>
    </font>
    <font>
      <sz val="12"/>
      <name val="Univers (W1)"/>
    </font>
    <font>
      <sz val="10"/>
      <name val="Arial"/>
      <family val="2"/>
    </font>
    <font>
      <sz val="11"/>
      <color indexed="9"/>
      <name val="Calibri"/>
      <family val="2"/>
    </font>
    <font>
      <u/>
      <sz val="11"/>
      <color indexed="12"/>
      <name val="Calibri"/>
      <family val="2"/>
    </font>
    <font>
      <sz val="10"/>
      <color indexed="8"/>
      <name val="Arial"/>
      <family val="2"/>
    </font>
    <font>
      <sz val="10"/>
      <color theme="1"/>
      <name val="Arial"/>
      <family val="2"/>
    </font>
    <font>
      <sz val="10"/>
      <name val="Helv"/>
    </font>
    <font>
      <b/>
      <sz val="11"/>
      <color rgb="FFFF0000"/>
      <name val="Calibri"/>
      <family val="2"/>
      <scheme val="minor"/>
    </font>
    <font>
      <b/>
      <sz val="10"/>
      <name val="Arial"/>
      <family val="2"/>
    </font>
    <font>
      <sz val="11"/>
      <color indexed="14"/>
      <name val="Calibri"/>
      <family val="2"/>
    </font>
    <font>
      <sz val="11"/>
      <color indexed="45"/>
      <name val="Calibri"/>
      <family val="2"/>
    </font>
    <font>
      <sz val="8"/>
      <name val="Times New Roman"/>
      <family val="1"/>
    </font>
    <font>
      <sz val="11"/>
      <color indexed="59"/>
      <name val="Calibri"/>
      <family val="2"/>
    </font>
    <font>
      <sz val="11"/>
      <color indexed="20"/>
      <name val="Calibri"/>
      <family val="2"/>
    </font>
    <font>
      <b/>
      <sz val="12"/>
      <name val="Times New Roman"/>
      <family val="1"/>
    </font>
    <font>
      <b/>
      <sz val="11"/>
      <color indexed="59"/>
      <name val="Calibri"/>
      <family val="2"/>
    </font>
    <font>
      <b/>
      <sz val="11"/>
      <color indexed="52"/>
      <name val="Calibri"/>
      <family val="2"/>
    </font>
    <font>
      <sz val="9"/>
      <color indexed="10"/>
      <name val="Geneva"/>
    </font>
    <font>
      <b/>
      <sz val="11"/>
      <color indexed="9"/>
      <name val="Calibri"/>
      <family val="2"/>
    </font>
    <font>
      <sz val="8"/>
      <name val="Arial"/>
      <family val="2"/>
    </font>
    <font>
      <sz val="12"/>
      <name val="Gothic"/>
    </font>
    <font>
      <b/>
      <sz val="10"/>
      <name val="Times New Roman"/>
      <family val="1"/>
    </font>
    <font>
      <sz val="11"/>
      <color indexed="62"/>
      <name val="Calibri"/>
      <family val="2"/>
    </font>
    <font>
      <sz val="10"/>
      <name val="Helv"/>
      <family val="2"/>
    </font>
    <font>
      <i/>
      <sz val="11"/>
      <color indexed="23"/>
      <name val="Calibri"/>
      <family val="2"/>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b/>
      <u/>
      <sz val="10"/>
      <color indexed="33"/>
      <name val="Arial Narrow"/>
      <family val="2"/>
    </font>
    <font>
      <sz val="11"/>
      <color indexed="58"/>
      <name val="Calibri"/>
      <family val="2"/>
    </font>
    <font>
      <sz val="11"/>
      <color indexed="52"/>
      <name val="Calibri"/>
      <family val="2"/>
    </font>
    <font>
      <sz val="10"/>
      <color indexed="10"/>
      <name val="Times New Roman"/>
      <family val="1"/>
    </font>
    <font>
      <sz val="11"/>
      <color indexed="60"/>
      <name val="Calibri"/>
      <family val="2"/>
    </font>
    <font>
      <sz val="11"/>
      <color indexed="56"/>
      <name val="Calibri"/>
      <family val="2"/>
    </font>
    <font>
      <sz val="12"/>
      <name val="Arial MT"/>
    </font>
    <font>
      <sz val="11"/>
      <color indexed="14"/>
      <name val="Calibri"/>
      <family val="2"/>
      <scheme val="minor"/>
    </font>
    <font>
      <sz val="10"/>
      <name val="Arial CE"/>
      <charset val="238"/>
    </font>
    <font>
      <b/>
      <sz val="11"/>
      <color indexed="63"/>
      <name val="Calibri"/>
      <family val="2"/>
    </font>
    <font>
      <b/>
      <sz val="10"/>
      <name val="MS Sans Serif"/>
      <family val="2"/>
    </font>
    <font>
      <b/>
      <sz val="10"/>
      <color indexed="9"/>
      <name val="Arial"/>
      <family val="2"/>
    </font>
    <font>
      <sz val="11"/>
      <color indexed="38"/>
      <name val="Calibri"/>
      <family val="2"/>
    </font>
    <font>
      <sz val="12"/>
      <name val="Helv"/>
    </font>
    <font>
      <sz val="8"/>
      <color indexed="8"/>
      <name val="Arial Narrow"/>
      <family val="2"/>
    </font>
    <font>
      <sz val="8"/>
      <color indexed="8"/>
      <name val="Arial"/>
      <family val="2"/>
    </font>
    <font>
      <b/>
      <sz val="8"/>
      <color indexed="8"/>
      <name val="Arial Narrow"/>
      <family val="2"/>
    </font>
    <font>
      <b/>
      <i/>
      <u/>
      <sz val="10"/>
      <color indexed="9"/>
      <name val="Times New Roman"/>
      <family val="1"/>
    </font>
    <font>
      <i/>
      <sz val="8"/>
      <color indexed="9"/>
      <name val="Times New Roman"/>
      <family val="1"/>
    </font>
    <font>
      <b/>
      <sz val="12"/>
      <color indexed="34"/>
      <name val="Arial Narrow"/>
      <family val="2"/>
    </font>
    <font>
      <b/>
      <sz val="18"/>
      <color indexed="56"/>
      <name val="Cambria"/>
      <family val="2"/>
    </font>
    <font>
      <b/>
      <sz val="18"/>
      <color indexed="18"/>
      <name val="Cambria"/>
      <family val="2"/>
    </font>
    <font>
      <b/>
      <sz val="15"/>
      <color indexed="18"/>
      <name val="Calibri"/>
      <family val="2"/>
    </font>
    <font>
      <b/>
      <sz val="13"/>
      <color indexed="18"/>
      <name val="Calibri"/>
      <family val="2"/>
    </font>
    <font>
      <b/>
      <sz val="11"/>
      <color indexed="18"/>
      <name val="Calibri"/>
      <family val="2"/>
    </font>
    <font>
      <b/>
      <sz val="11"/>
      <color indexed="14"/>
      <name val="Calibri"/>
      <family val="2"/>
    </font>
    <font>
      <sz val="10"/>
      <name val="Arial"/>
      <family val="2"/>
      <charset val="238"/>
    </font>
    <font>
      <b/>
      <sz val="11"/>
      <color indexed="45"/>
      <name val="Calibri"/>
      <family val="2"/>
    </font>
    <font>
      <b/>
      <sz val="10"/>
      <color indexed="8"/>
      <name val="Arial"/>
      <family val="2"/>
    </font>
    <font>
      <i/>
      <sz val="11"/>
      <color theme="1"/>
      <name val="Calibri"/>
      <family val="2"/>
      <scheme val="minor"/>
    </font>
    <font>
      <sz val="8"/>
      <color theme="1"/>
      <name val="Arial"/>
      <family val="2"/>
    </font>
    <font>
      <b/>
      <sz val="13"/>
      <color rgb="FFFFFFFF"/>
      <name val="Calibri"/>
    </font>
    <font>
      <i/>
      <sz val="9"/>
      <color rgb="FF5A6170"/>
      <name val="Calibri"/>
    </font>
    <font>
      <b/>
      <sz val="9"/>
      <color rgb="FFFFFFFF"/>
      <name val="Calibri"/>
    </font>
    <font>
      <sz val="9"/>
      <name val="Calibri"/>
    </font>
    <font>
      <b/>
      <sz val="10"/>
      <color rgb="FF1A1FC8"/>
      <name val="Calibri"/>
    </font>
    <font>
      <sz val="8"/>
      <color rgb="FF8A91A8"/>
      <name val="Calibri"/>
    </font>
    <font>
      <b/>
      <i/>
      <sz val="9"/>
      <color rgb="FF1B2A5E"/>
      <name val="Calibri"/>
    </font>
    <font>
      <b/>
      <sz val="11"/>
      <color rgb="FFFFFFFF"/>
      <name val="Calibri"/>
    </font>
    <font>
      <b/>
      <sz val="8"/>
      <color rgb="FFFFFFFF"/>
      <name val="Calibri"/>
    </font>
    <font>
      <b/>
      <sz val="9"/>
      <color rgb="FF1B2A5E"/>
      <name val="Calibri"/>
    </font>
    <font>
      <sz val="9"/>
      <color rgb="FF2C2C2C"/>
      <name val="Calibri"/>
    </font>
    <font>
      <sz val="8"/>
      <color rgb="FF5A6170"/>
      <name val="Calibri"/>
    </font>
    <font>
      <b/>
      <sz val="9"/>
      <color rgb="FF1A1FC8"/>
      <name val="Calibri"/>
    </font>
    <font>
      <b/>
      <sz val="9"/>
      <color rgb="FF5A6170"/>
      <name val="Calibri"/>
    </font>
    <font>
      <sz val="9"/>
      <color rgb="FF8A91A8"/>
      <name val="Calibri"/>
    </font>
    <font>
      <b/>
      <sz val="10"/>
      <color rgb="FF1B2A5E"/>
      <name val="Calibri"/>
    </font>
    <font>
      <b/>
      <sz val="10"/>
      <color rgb="FFFFFFFF"/>
      <name val="Calibri"/>
    </font>
    <font>
      <b/>
      <sz val="12"/>
      <color rgb="FFFFFFFF"/>
      <name val="Calibri"/>
    </font>
    <font>
      <b/>
      <sz val="16"/>
      <color rgb="FFE8001D"/>
      <name val="Calibri"/>
    </font>
    <font>
      <i/>
      <sz val="9"/>
      <color rgb="FF1B2A5E"/>
      <name val="Calibri"/>
    </font>
    <font>
      <b/>
      <sz val="9"/>
      <color rgb="FF8B4000"/>
      <name val="Calibri"/>
    </font>
    <font>
      <b/>
      <sz val="10"/>
      <color rgb="FF8B4000"/>
      <name val="Calibri"/>
    </font>
    <font>
      <i/>
      <sz val="9"/>
      <color rgb="FF8B4000"/>
      <name val="Calibri"/>
    </font>
    <font>
      <b/>
      <sz val="11"/>
      <color rgb="FF1A1FC8"/>
      <name val="Calibri"/>
    </font>
    <font>
      <b/>
      <sz val="11"/>
      <color rgb="FF8B4000"/>
      <name val="Calibri"/>
    </font>
    <font>
      <sz val="11"/>
      <color theme="1"/>
      <name val="Calibri"/>
      <family val="2"/>
      <charset val="1"/>
    </font>
    <font>
      <sz val="11"/>
      <color rgb="FFFF0000"/>
      <name val="Calibri"/>
      <family val="2"/>
      <scheme val="minor"/>
    </font>
    <font>
      <sz val="9"/>
      <color rgb="FF1B2A5E"/>
      <name val="Calibri"/>
      <family val="2"/>
    </font>
    <font>
      <sz val="11"/>
      <color theme="1"/>
      <name val="Calibri"/>
      <family val="2"/>
    </font>
    <font>
      <sz val="9"/>
      <color rgb="FF8B4000"/>
      <name val="Calibri"/>
      <family val="2"/>
    </font>
    <font>
      <b/>
      <sz val="8"/>
      <color theme="1"/>
      <name val="Arial"/>
      <family val="2"/>
    </font>
    <font>
      <i/>
      <sz val="8"/>
      <name val="Arial"/>
      <family val="2"/>
    </font>
    <font>
      <b/>
      <sz val="8"/>
      <name val="Arial"/>
      <family val="2"/>
    </font>
    <font>
      <i/>
      <sz val="8"/>
      <color theme="1"/>
      <name val="Arial"/>
      <family val="2"/>
    </font>
    <font>
      <i/>
      <sz val="8"/>
      <color rgb="FFFF0000"/>
      <name val="Arial"/>
      <family val="2"/>
    </font>
    <font>
      <u/>
      <sz val="11"/>
      <color theme="10"/>
      <name val="Calibri"/>
      <family val="2"/>
      <charset val="1"/>
    </font>
    <font>
      <b/>
      <sz val="14"/>
      <name val="Calibri"/>
      <family val="2"/>
      <scheme val="minor"/>
    </font>
    <font>
      <b/>
      <i/>
      <sz val="11"/>
      <name val="Calibri"/>
      <family val="2"/>
      <scheme val="minor"/>
    </font>
    <font>
      <sz val="11"/>
      <color theme="5" tint="-0.249977111117893"/>
      <name val="Calibri"/>
      <family val="2"/>
      <scheme val="minor"/>
    </font>
    <font>
      <sz val="11"/>
      <color theme="1" tint="0.34998626667073579"/>
      <name val="Calibri"/>
      <family val="2"/>
      <scheme val="minor"/>
    </font>
    <font>
      <sz val="11"/>
      <color theme="9" tint="-0.499984740745262"/>
      <name val="Calibri"/>
      <family val="2"/>
      <scheme val="minor"/>
    </font>
    <font>
      <sz val="11"/>
      <color theme="2" tint="-0.749992370372631"/>
      <name val="Calibri"/>
      <family val="2"/>
      <scheme val="minor"/>
    </font>
    <font>
      <b/>
      <i/>
      <sz val="8"/>
      <color rgb="FFFF0000"/>
      <name val="Arial"/>
      <family val="2"/>
    </font>
    <font>
      <b/>
      <i/>
      <u/>
      <sz val="11"/>
      <color theme="1"/>
      <name val="Calibri"/>
      <family val="2"/>
      <scheme val="minor"/>
    </font>
    <font>
      <sz val="11"/>
      <name val="Calibri"/>
      <family val="2"/>
      <scheme val="minor"/>
    </font>
    <font>
      <i/>
      <sz val="11"/>
      <name val="Calibri"/>
      <family val="2"/>
      <scheme val="minor"/>
    </font>
  </fonts>
  <fills count="77">
    <fill>
      <patternFill patternType="none"/>
    </fill>
    <fill>
      <patternFill patternType="gray125"/>
    </fill>
    <fill>
      <patternFill patternType="solid">
        <fgColor rgb="FF1B2A5E"/>
        <bgColor rgb="FF2C2C2C"/>
      </patternFill>
    </fill>
    <fill>
      <patternFill patternType="solid">
        <fgColor rgb="FFFFF9C4"/>
        <bgColor rgb="FFFFF3E0"/>
      </patternFill>
    </fill>
    <fill>
      <patternFill patternType="solid">
        <fgColor rgb="FFE3E8F8"/>
        <bgColor rgb="FFEEF0FC"/>
      </patternFill>
    </fill>
    <fill>
      <patternFill patternType="solid">
        <fgColor rgb="FFEEF0FC"/>
        <bgColor rgb="FFF0F2F8"/>
      </patternFill>
    </fill>
    <fill>
      <patternFill patternType="solid">
        <fgColor rgb="FFE8F5EE"/>
        <bgColor rgb="FFF0F2F8"/>
      </patternFill>
    </fill>
    <fill>
      <patternFill patternType="solid">
        <fgColor rgb="FFFFF3E0"/>
        <bgColor rgb="FFFFF9C4"/>
      </patternFill>
    </fill>
    <fill>
      <patternFill patternType="solid">
        <fgColor rgb="FF1A1FC8"/>
        <bgColor rgb="FF0000FF"/>
      </patternFill>
    </fill>
    <fill>
      <patternFill patternType="solid">
        <fgColor rgb="FFF0F2F8"/>
        <bgColor rgb="FFEEF0FC"/>
      </patternFill>
    </fill>
    <fill>
      <patternFill patternType="solid">
        <fgColor rgb="FFFFFFFF"/>
        <bgColor rgb="FFF0F2F8"/>
      </patternFill>
    </fill>
    <fill>
      <patternFill patternType="solid">
        <fgColor rgb="FFFFFFCC"/>
      </patternFill>
    </fill>
    <fill>
      <patternFill patternType="solid">
        <fgColor theme="1"/>
        <bgColor indexed="64"/>
      </patternFill>
    </fill>
    <fill>
      <patternFill patternType="solid">
        <fgColor theme="4" tint="0.39997558519241921"/>
        <bgColor indexed="64"/>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0"/>
      </patternFill>
    </fill>
    <fill>
      <patternFill patternType="solid">
        <fgColor indexed="10"/>
      </patternFill>
    </fill>
    <fill>
      <patternFill patternType="solid">
        <fgColor indexed="20"/>
      </patternFill>
    </fill>
    <fill>
      <patternFill patternType="solid">
        <fgColor indexed="9"/>
      </patternFill>
    </fill>
    <fill>
      <patternFill patternType="solid">
        <fgColor indexed="12"/>
      </patternFill>
    </fill>
    <fill>
      <patternFill patternType="solid">
        <fgColor indexed="50"/>
      </patternFill>
    </fill>
    <fill>
      <patternFill patternType="solid">
        <fgColor indexed="16"/>
      </patternFill>
    </fill>
    <fill>
      <patternFill patternType="solid">
        <fgColor indexed="22"/>
      </patternFill>
    </fill>
    <fill>
      <patternFill patternType="solid">
        <fgColor indexed="62"/>
      </patternFill>
    </fill>
    <fill>
      <patternFill patternType="solid">
        <fgColor indexed="18"/>
      </patternFill>
    </fill>
    <fill>
      <patternFill patternType="solid">
        <fgColor indexed="57"/>
      </patternFill>
    </fill>
    <fill>
      <patternFill patternType="solid">
        <fgColor indexed="23"/>
      </patternFill>
    </fill>
    <fill>
      <patternFill patternType="solid">
        <fgColor indexed="53"/>
      </patternFill>
    </fill>
    <fill>
      <patternFill patternType="solid">
        <fgColor indexed="59"/>
      </patternFill>
    </fill>
    <fill>
      <patternFill patternType="mediumGray">
        <fgColor indexed="11"/>
        <bgColor indexed="13"/>
      </patternFill>
    </fill>
    <fill>
      <patternFill patternType="solid">
        <fgColor indexed="55"/>
      </patternFill>
    </fill>
    <fill>
      <patternFill patternType="solid">
        <fgColor indexed="26"/>
      </patternFill>
    </fill>
    <fill>
      <patternFill patternType="solid">
        <fgColor indexed="13"/>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9"/>
        <bgColor indexed="64"/>
      </patternFill>
    </fill>
    <fill>
      <patternFill patternType="solid">
        <fgColor indexed="43"/>
        <bgColor indexed="64"/>
      </patternFill>
    </fill>
    <fill>
      <patternFill patternType="solid">
        <fgColor indexed="21"/>
        <bgColor indexed="64"/>
      </patternFill>
    </fill>
    <fill>
      <patternFill patternType="solid">
        <fgColor indexed="15"/>
        <bgColor indexed="64"/>
      </patternFill>
    </fill>
    <fill>
      <patternFill patternType="solid">
        <fgColor indexed="8"/>
        <bgColor indexed="64"/>
      </patternFill>
    </fill>
    <fill>
      <patternFill patternType="solid">
        <fgColor indexed="16"/>
        <bgColor indexed="64"/>
      </patternFill>
    </fill>
    <fill>
      <patternFill patternType="mediumGray"/>
    </fill>
    <fill>
      <patternFill patternType="solid">
        <fgColor rgb="FF1B2A5E"/>
      </patternFill>
    </fill>
    <fill>
      <patternFill patternType="solid">
        <fgColor rgb="FFFFF9C4"/>
      </patternFill>
    </fill>
    <fill>
      <patternFill patternType="solid">
        <fgColor rgb="FFEEF0FC"/>
      </patternFill>
    </fill>
    <fill>
      <patternFill patternType="solid">
        <fgColor rgb="FF1A1FC8"/>
      </patternFill>
    </fill>
    <fill>
      <patternFill patternType="solid">
        <fgColor rgb="FFE3E8F8"/>
      </patternFill>
    </fill>
    <fill>
      <patternFill patternType="solid">
        <fgColor rgb="FFF8F9FD"/>
      </patternFill>
    </fill>
    <fill>
      <patternFill patternType="solid">
        <fgColor rgb="FFE8F5EE"/>
      </patternFill>
    </fill>
    <fill>
      <patternFill patternType="solid">
        <fgColor rgb="FFFFF3E0"/>
      </patternFill>
    </fill>
    <fill>
      <patternFill patternType="solid">
        <fgColor rgb="FFF5F0FF"/>
      </patternFill>
    </fill>
    <fill>
      <patternFill patternType="solid">
        <fgColor rgb="FFE87722"/>
      </patternFill>
    </fill>
    <fill>
      <patternFill patternType="solid">
        <fgColor rgb="FF8B4000"/>
      </patternFill>
    </fill>
    <fill>
      <patternFill patternType="solid">
        <fgColor rgb="FFFFF0E0"/>
      </patternFill>
    </fill>
    <fill>
      <patternFill patternType="solid">
        <fgColor rgb="FFFFE8E8"/>
      </patternFill>
    </fill>
    <fill>
      <patternFill patternType="solid">
        <fgColor rgb="FFE0EEF8"/>
      </patternFill>
    </fill>
    <fill>
      <patternFill patternType="solid">
        <fgColor rgb="FFF0F2F8"/>
      </patternFill>
    </fill>
    <fill>
      <patternFill patternType="solid">
        <fgColor theme="0" tint="-0.14999847407452621"/>
        <bgColor indexed="64"/>
      </patternFill>
    </fill>
    <fill>
      <patternFill patternType="solid">
        <fgColor theme="9" tint="0.59999389629810485"/>
        <bgColor indexed="64"/>
      </patternFill>
    </fill>
    <fill>
      <patternFill patternType="solid">
        <fgColor theme="4" tint="-0.499984740745262"/>
        <bgColor indexed="64"/>
      </patternFill>
    </fill>
    <fill>
      <patternFill patternType="solid">
        <fgColor theme="8" tint="0.79998168889431442"/>
        <bgColor indexed="64"/>
      </patternFill>
    </fill>
    <fill>
      <patternFill patternType="solid">
        <fgColor theme="0" tint="-0.249977111117893"/>
        <bgColor indexed="64"/>
      </patternFill>
    </fill>
  </fills>
  <borders count="128">
    <border>
      <left/>
      <right/>
      <top/>
      <bottom/>
      <diagonal/>
    </border>
    <border>
      <left style="thin">
        <color rgb="FFD0D5E8"/>
      </left>
      <right style="thin">
        <color rgb="FFD0D5E8"/>
      </right>
      <top style="thin">
        <color rgb="FFD0D5E8"/>
      </top>
      <bottom style="thin">
        <color rgb="FFD0D5E8"/>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thin">
        <color indexed="48"/>
      </left>
      <right style="thin">
        <color indexed="48"/>
      </right>
      <top style="thin">
        <color indexed="48"/>
      </top>
      <bottom style="thin">
        <color indexed="48"/>
      </bottom>
      <diagonal/>
    </border>
    <border>
      <left/>
      <right/>
      <top style="thin">
        <color indexed="64"/>
      </top>
      <bottom style="thin">
        <color indexed="64"/>
      </bottom>
      <diagonal/>
    </border>
    <border>
      <left style="thin">
        <color indexed="64"/>
      </left>
      <right style="thin">
        <color indexed="64"/>
      </right>
      <top/>
      <bottom/>
      <diagonal/>
    </border>
    <border>
      <left/>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right/>
      <top/>
      <bottom style="double">
        <color indexed="59"/>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ck">
        <color indexed="17"/>
      </left>
      <right style="thick">
        <color indexed="17"/>
      </right>
      <top style="thick">
        <color indexed="17"/>
      </top>
      <bottom style="thick">
        <color indexed="17"/>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medium">
        <color indexed="9"/>
      </left>
      <right style="medium">
        <color indexed="9"/>
      </right>
      <top style="medium">
        <color indexed="9"/>
      </top>
      <bottom/>
      <diagonal/>
    </border>
    <border>
      <left style="medium">
        <color indexed="9"/>
      </left>
      <right style="medium">
        <color indexed="9"/>
      </right>
      <top style="medium">
        <color indexed="9"/>
      </top>
      <bottom style="medium">
        <color indexed="9"/>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right/>
      <top style="thin">
        <color indexed="34"/>
      </top>
      <bottom style="thin">
        <color indexed="34"/>
      </bottom>
      <diagonal/>
    </border>
    <border>
      <left/>
      <right/>
      <top/>
      <bottom style="thick">
        <color indexed="18"/>
      </bottom>
      <diagonal/>
    </border>
    <border>
      <left/>
      <right/>
      <top/>
      <bottom style="thick">
        <color indexed="16"/>
      </bottom>
      <diagonal/>
    </border>
    <border>
      <left/>
      <right/>
      <top/>
      <bottom style="medium">
        <color indexed="16"/>
      </bottom>
      <diagonal/>
    </border>
    <border>
      <left/>
      <right/>
      <top style="thin">
        <color indexed="62"/>
      </top>
      <bottom style="double">
        <color indexed="62"/>
      </bottom>
      <diagonal/>
    </border>
    <border>
      <left/>
      <right/>
      <top style="thin">
        <color indexed="18"/>
      </top>
      <bottom style="double">
        <color indexed="18"/>
      </bottom>
      <diagonal/>
    </border>
    <border>
      <left style="thin">
        <color auto="1"/>
      </left>
      <right style="thin">
        <color auto="1"/>
      </right>
      <top style="thin">
        <color auto="1"/>
      </top>
      <bottom style="thin">
        <color auto="1"/>
      </bottom>
      <diagonal/>
    </border>
    <border>
      <left/>
      <right style="thin">
        <color indexed="64"/>
      </right>
      <top/>
      <bottom/>
      <diagonal/>
    </border>
    <border>
      <left/>
      <right/>
      <top style="medium">
        <color indexed="64"/>
      </top>
      <bottom/>
      <diagonal/>
    </border>
    <border>
      <left/>
      <right style="thin">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style="thin">
        <color rgb="FFD0D5E8"/>
      </left>
      <right style="thin">
        <color rgb="FFD0D5E8"/>
      </right>
      <top style="thin">
        <color rgb="FFD0D5E8"/>
      </top>
      <bottom style="thin">
        <color rgb="FFD0D5E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style="thin">
        <color indexed="64"/>
      </left>
      <right/>
      <top/>
      <bottom style="thin">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auto="1"/>
      </left>
      <right style="thin">
        <color auto="1"/>
      </right>
      <top style="thin">
        <color auto="1"/>
      </top>
      <bottom/>
      <diagonal/>
    </border>
    <border>
      <left style="thin">
        <color indexed="64"/>
      </left>
      <right/>
      <top style="thin">
        <color indexed="64"/>
      </top>
      <bottom style="dashed">
        <color theme="4" tint="0.39994506668294322"/>
      </bottom>
      <diagonal/>
    </border>
    <border>
      <left/>
      <right/>
      <top style="thin">
        <color indexed="64"/>
      </top>
      <bottom style="dashed">
        <color theme="4" tint="0.39994506668294322"/>
      </bottom>
      <diagonal/>
    </border>
    <border>
      <left/>
      <right style="thin">
        <color indexed="64"/>
      </right>
      <top style="thin">
        <color indexed="64"/>
      </top>
      <bottom style="dashed">
        <color theme="4" tint="0.39994506668294322"/>
      </bottom>
      <diagonal/>
    </border>
    <border>
      <left style="thin">
        <color indexed="64"/>
      </left>
      <right style="thin">
        <color indexed="64"/>
      </right>
      <top style="thin">
        <color indexed="64"/>
      </top>
      <bottom style="dashed">
        <color theme="4" tint="0.39994506668294322"/>
      </bottom>
      <diagonal/>
    </border>
    <border>
      <left style="thin">
        <color indexed="64"/>
      </left>
      <right/>
      <top style="dashed">
        <color theme="4" tint="0.39994506668294322"/>
      </top>
      <bottom style="thin">
        <color indexed="64"/>
      </bottom>
      <diagonal/>
    </border>
    <border>
      <left/>
      <right/>
      <top style="dashed">
        <color theme="4" tint="0.39994506668294322"/>
      </top>
      <bottom style="thin">
        <color indexed="64"/>
      </bottom>
      <diagonal/>
    </border>
    <border>
      <left/>
      <right style="thin">
        <color indexed="64"/>
      </right>
      <top style="dashed">
        <color theme="4" tint="0.39994506668294322"/>
      </top>
      <bottom style="thin">
        <color indexed="64"/>
      </bottom>
      <diagonal/>
    </border>
    <border>
      <left style="thin">
        <color indexed="64"/>
      </left>
      <right style="thin">
        <color indexed="64"/>
      </right>
      <top style="dashed">
        <color theme="4" tint="0.39994506668294322"/>
      </top>
      <bottom style="thin">
        <color indexed="64"/>
      </bottom>
      <diagonal/>
    </border>
    <border>
      <left style="thin">
        <color indexed="64"/>
      </left>
      <right/>
      <top style="dotted">
        <color indexed="64"/>
      </top>
      <bottom style="dashed">
        <color theme="4" tint="0.39994506668294322"/>
      </bottom>
      <diagonal/>
    </border>
    <border>
      <left/>
      <right/>
      <top style="dotted">
        <color indexed="64"/>
      </top>
      <bottom style="dashed">
        <color theme="4" tint="0.39994506668294322"/>
      </bottom>
      <diagonal/>
    </border>
    <border>
      <left style="thin">
        <color indexed="64"/>
      </left>
      <right/>
      <top style="dashed">
        <color theme="4" tint="0.39994506668294322"/>
      </top>
      <bottom style="dashed">
        <color theme="4" tint="0.39994506668294322"/>
      </bottom>
      <diagonal/>
    </border>
    <border>
      <left/>
      <right/>
      <top style="dashed">
        <color theme="4" tint="0.39994506668294322"/>
      </top>
      <bottom style="dashed">
        <color theme="4" tint="0.39994506668294322"/>
      </bottom>
      <diagonal/>
    </border>
    <border>
      <left/>
      <right style="thin">
        <color indexed="64"/>
      </right>
      <top style="dashed">
        <color theme="4" tint="0.39994506668294322"/>
      </top>
      <bottom style="dashed">
        <color theme="4" tint="0.39994506668294322"/>
      </bottom>
      <diagonal/>
    </border>
    <border>
      <left style="thin">
        <color indexed="64"/>
      </left>
      <right style="thin">
        <color indexed="64"/>
      </right>
      <top style="dashed">
        <color theme="4" tint="0.39994506668294322"/>
      </top>
      <bottom style="dashed">
        <color theme="4" tint="0.39994506668294322"/>
      </bottom>
      <diagonal/>
    </border>
    <border>
      <left/>
      <right/>
      <top/>
      <bottom style="dashed">
        <color indexed="64"/>
      </bottom>
      <diagonal/>
    </border>
    <border>
      <left style="thin">
        <color indexed="64"/>
      </left>
      <right/>
      <top style="dashed">
        <color theme="4" tint="0.39994506668294322"/>
      </top>
      <bottom style="dashed">
        <color indexed="64"/>
      </bottom>
      <diagonal/>
    </border>
    <border>
      <left/>
      <right/>
      <top style="dashed">
        <color theme="4" tint="0.39994506668294322"/>
      </top>
      <bottom style="dashed">
        <color indexed="64"/>
      </bottom>
      <diagonal/>
    </border>
    <border>
      <left/>
      <right style="thin">
        <color indexed="64"/>
      </right>
      <top style="dashed">
        <color theme="4" tint="0.39994506668294322"/>
      </top>
      <bottom style="dashed">
        <color indexed="64"/>
      </bottom>
      <diagonal/>
    </border>
    <border>
      <left style="thin">
        <color indexed="64"/>
      </left>
      <right style="thin">
        <color indexed="64"/>
      </right>
      <top style="dashed">
        <color theme="4" tint="0.39994506668294322"/>
      </top>
      <bottom/>
      <diagonal/>
    </border>
    <border>
      <left/>
      <right/>
      <top style="dashed">
        <color indexed="64"/>
      </top>
      <bottom style="thin">
        <color indexed="64"/>
      </bottom>
      <diagonal/>
    </border>
    <border>
      <left style="thin">
        <color indexed="64"/>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top style="dashed">
        <color theme="4" tint="0.39994506668294322"/>
      </top>
      <bottom/>
      <diagonal/>
    </border>
    <border>
      <left/>
      <right/>
      <top style="dashed">
        <color theme="4" tint="0.39994506668294322"/>
      </top>
      <bottom/>
      <diagonal/>
    </border>
    <border>
      <left/>
      <right style="thin">
        <color indexed="64"/>
      </right>
      <top style="dashed">
        <color theme="4" tint="0.39994506668294322"/>
      </top>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style="dotted">
        <color indexed="64"/>
      </top>
      <bottom/>
      <diagonal/>
    </border>
    <border>
      <left style="thin">
        <color indexed="64"/>
      </left>
      <right/>
      <top style="dashed">
        <color theme="4" tint="0.39994506668294322"/>
      </top>
      <bottom style="dotted">
        <color indexed="64"/>
      </bottom>
      <diagonal/>
    </border>
    <border>
      <left/>
      <right/>
      <top style="dashed">
        <color theme="4" tint="0.39994506668294322"/>
      </top>
      <bottom style="dotted">
        <color indexed="64"/>
      </bottom>
      <diagonal/>
    </border>
    <border>
      <left/>
      <right style="thin">
        <color indexed="64"/>
      </right>
      <top style="dashed">
        <color theme="4" tint="0.39994506668294322"/>
      </top>
      <bottom style="dotted">
        <color indexed="64"/>
      </bottom>
      <diagonal/>
    </border>
    <border>
      <left style="thin">
        <color indexed="64"/>
      </left>
      <right style="thin">
        <color indexed="64"/>
      </right>
      <top style="dashed">
        <color theme="4" tint="0.39994506668294322"/>
      </top>
      <bottom style="dotted">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right/>
      <top style="dotted">
        <color indexed="64"/>
      </top>
      <bottom style="thin">
        <color indexed="64"/>
      </bottom>
      <diagonal/>
    </border>
    <border>
      <left style="thin">
        <color indexed="64"/>
      </left>
      <right/>
      <top style="dotted">
        <color indexed="64"/>
      </top>
      <bottom style="thin">
        <color indexed="64"/>
      </bottom>
      <diagonal/>
    </border>
    <border>
      <left/>
      <right style="thin">
        <color indexed="64"/>
      </right>
      <top style="dotted">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s>
  <cellStyleXfs count="820">
    <xf numFmtId="0" fontId="0" fillId="0" borderId="0"/>
    <xf numFmtId="0" fontId="1" fillId="0" borderId="0"/>
    <xf numFmtId="9" fontId="1" fillId="0" borderId="0"/>
    <xf numFmtId="167" fontId="1" fillId="0" borderId="0"/>
    <xf numFmtId="0" fontId="28" fillId="0" borderId="0"/>
    <xf numFmtId="168" fontId="29" fillId="0" borderId="0"/>
    <xf numFmtId="0" fontId="27" fillId="15" borderId="0"/>
    <xf numFmtId="0" fontId="27" fillId="16" borderId="0"/>
    <xf numFmtId="0" fontId="27" fillId="17" borderId="0"/>
    <xf numFmtId="0" fontId="27" fillId="18" borderId="0"/>
    <xf numFmtId="0" fontId="27" fillId="19" borderId="0"/>
    <xf numFmtId="0" fontId="27" fillId="20" borderId="0"/>
    <xf numFmtId="0" fontId="27" fillId="21" borderId="0"/>
    <xf numFmtId="0" fontId="27" fillId="22" borderId="0"/>
    <xf numFmtId="0" fontId="27" fillId="23" borderId="0"/>
    <xf numFmtId="0" fontId="27" fillId="18" borderId="0"/>
    <xf numFmtId="0" fontId="27" fillId="21" borderId="0"/>
    <xf numFmtId="0" fontId="27" fillId="24" borderId="0"/>
    <xf numFmtId="0" fontId="30" fillId="25" borderId="0"/>
    <xf numFmtId="0" fontId="30" fillId="22" borderId="0"/>
    <xf numFmtId="0" fontId="30" fillId="23" borderId="0"/>
    <xf numFmtId="0" fontId="30" fillId="26" borderId="0"/>
    <xf numFmtId="0" fontId="30" fillId="27" borderId="0"/>
    <xf numFmtId="0" fontId="30" fillId="28" borderId="0"/>
    <xf numFmtId="169" fontId="29" fillId="0" borderId="0"/>
    <xf numFmtId="44" fontId="29" fillId="0" borderId="0"/>
    <xf numFmtId="0" fontId="29" fillId="0" borderId="0"/>
    <xf numFmtId="0" fontId="31" fillId="0" borderId="0"/>
    <xf numFmtId="4" fontId="32" fillId="29" borderId="36">
      <alignment horizontal="left" vertical="center" indent="1"/>
    </xf>
    <xf numFmtId="0" fontId="29" fillId="0" borderId="0"/>
    <xf numFmtId="0" fontId="33" fillId="0" borderId="0"/>
    <xf numFmtId="0" fontId="27" fillId="0" borderId="0"/>
    <xf numFmtId="0" fontId="34" fillId="0" borderId="0"/>
    <xf numFmtId="170" fontId="27" fillId="0" borderId="0"/>
    <xf numFmtId="43" fontId="1" fillId="0" borderId="0"/>
    <xf numFmtId="0" fontId="29" fillId="0" borderId="0"/>
    <xf numFmtId="0" fontId="1" fillId="0" borderId="0"/>
    <xf numFmtId="43" fontId="1" fillId="0" borderId="0"/>
    <xf numFmtId="0" fontId="29" fillId="0" borderId="0"/>
    <xf numFmtId="169" fontId="29" fillId="0" borderId="0"/>
    <xf numFmtId="0" fontId="29" fillId="0" borderId="0"/>
    <xf numFmtId="0" fontId="29" fillId="0" borderId="0"/>
    <xf numFmtId="169" fontId="29" fillId="0" borderId="0"/>
    <xf numFmtId="0" fontId="29" fillId="0" borderId="0"/>
    <xf numFmtId="0" fontId="29" fillId="0" borderId="0"/>
    <xf numFmtId="170" fontId="1" fillId="0" borderId="0"/>
    <xf numFmtId="43" fontId="1" fillId="0" borderId="0"/>
    <xf numFmtId="171" fontId="29" fillId="0" borderId="0"/>
    <xf numFmtId="0" fontId="29" fillId="0" borderId="0"/>
    <xf numFmtId="0" fontId="29" fillId="0" borderId="0"/>
    <xf numFmtId="0" fontId="29" fillId="0" borderId="0"/>
    <xf numFmtId="0" fontId="29" fillId="0" borderId="0"/>
    <xf numFmtId="0" fontId="29" fillId="0" borderId="0"/>
    <xf numFmtId="0" fontId="37" fillId="30" borderId="0"/>
    <xf numFmtId="0" fontId="37" fillId="18" borderId="0"/>
    <xf numFmtId="0" fontId="37" fillId="31" borderId="0"/>
    <xf numFmtId="0" fontId="37" fillId="32" borderId="0"/>
    <xf numFmtId="0" fontId="37" fillId="33" borderId="0"/>
    <xf numFmtId="0" fontId="37" fillId="34" borderId="0"/>
    <xf numFmtId="0" fontId="27" fillId="15" borderId="0"/>
    <xf numFmtId="0" fontId="27" fillId="15" borderId="0"/>
    <xf numFmtId="0" fontId="27" fillId="16" borderId="0"/>
    <xf numFmtId="0" fontId="27" fillId="16" borderId="0"/>
    <xf numFmtId="0" fontId="27" fillId="17" borderId="0"/>
    <xf numFmtId="0" fontId="27" fillId="17" borderId="0"/>
    <xf numFmtId="0" fontId="27" fillId="18" borderId="0"/>
    <xf numFmtId="0" fontId="27" fillId="18" borderId="0"/>
    <xf numFmtId="0" fontId="27" fillId="19" borderId="0"/>
    <xf numFmtId="0" fontId="27" fillId="20" borderId="0"/>
    <xf numFmtId="0" fontId="37" fillId="35" borderId="0"/>
    <xf numFmtId="0" fontId="37" fillId="18" borderId="0"/>
    <xf numFmtId="0" fontId="37" fillId="31" borderId="0"/>
    <xf numFmtId="0" fontId="37" fillId="36" borderId="0"/>
    <xf numFmtId="0" fontId="37" fillId="20" borderId="0"/>
    <xf numFmtId="0" fontId="27" fillId="21" borderId="0"/>
    <xf numFmtId="0" fontId="27" fillId="22" borderId="0"/>
    <xf numFmtId="0" fontId="27" fillId="23" borderId="0"/>
    <xf numFmtId="0" fontId="27" fillId="23" borderId="0"/>
    <xf numFmtId="0" fontId="27" fillId="18" borderId="0"/>
    <xf numFmtId="0" fontId="27" fillId="21" borderId="0"/>
    <xf numFmtId="0" fontId="27" fillId="24" borderId="0"/>
    <xf numFmtId="0" fontId="38" fillId="35" borderId="0"/>
    <xf numFmtId="0" fontId="38" fillId="18" borderId="0"/>
    <xf numFmtId="0" fontId="38" fillId="31" borderId="0"/>
    <xf numFmtId="0" fontId="38" fillId="36" borderId="0"/>
    <xf numFmtId="0" fontId="38" fillId="35" borderId="0"/>
    <xf numFmtId="0" fontId="38" fillId="20" borderId="0"/>
    <xf numFmtId="0" fontId="30" fillId="25" borderId="0"/>
    <xf numFmtId="0" fontId="30" fillId="22" borderId="0"/>
    <xf numFmtId="0" fontId="30" fillId="23" borderId="0"/>
    <xf numFmtId="0" fontId="30" fillId="23" borderId="0"/>
    <xf numFmtId="0" fontId="30" fillId="26" borderId="0"/>
    <xf numFmtId="0" fontId="30" fillId="26" borderId="0"/>
    <xf numFmtId="0" fontId="30" fillId="27" borderId="0"/>
    <xf numFmtId="0" fontId="30" fillId="28" borderId="0"/>
    <xf numFmtId="0" fontId="30" fillId="28" borderId="0"/>
    <xf numFmtId="0" fontId="30" fillId="37" borderId="0"/>
    <xf numFmtId="0" fontId="38" fillId="38" borderId="0"/>
    <xf numFmtId="0" fontId="30" fillId="30" borderId="0"/>
    <xf numFmtId="0" fontId="38" fillId="18" borderId="0"/>
    <xf numFmtId="0" fontId="30" fillId="39" borderId="0"/>
    <xf numFmtId="0" fontId="38" fillId="31" borderId="0"/>
    <xf numFmtId="0" fontId="30" fillId="26" borderId="0"/>
    <xf numFmtId="0" fontId="38" fillId="40" borderId="0"/>
    <xf numFmtId="0" fontId="30" fillId="27" borderId="0"/>
    <xf numFmtId="0" fontId="38" fillId="38" borderId="0"/>
    <xf numFmtId="0" fontId="30" fillId="41" borderId="0"/>
    <xf numFmtId="0" fontId="38" fillId="42" borderId="0"/>
    <xf numFmtId="0" fontId="39" fillId="0" borderId="0">
      <alignment horizontal="center" wrapText="1"/>
      <protection locked="0"/>
    </xf>
    <xf numFmtId="0" fontId="40" fillId="0" borderId="0"/>
    <xf numFmtId="0" fontId="41" fillId="16" borderId="0"/>
    <xf numFmtId="0" fontId="42" fillId="43" borderId="0">
      <alignment horizontal="left" vertical="center"/>
    </xf>
    <xf numFmtId="0" fontId="43" fillId="16" borderId="40"/>
    <xf numFmtId="0" fontId="44" fillId="36" borderId="40"/>
    <xf numFmtId="0" fontId="45" fillId="0" borderId="0"/>
    <xf numFmtId="0" fontId="40" fillId="0" borderId="41"/>
    <xf numFmtId="0" fontId="46" fillId="44" borderId="42"/>
    <xf numFmtId="0" fontId="37" fillId="11" borderId="2"/>
    <xf numFmtId="0" fontId="29" fillId="45" borderId="43"/>
    <xf numFmtId="172" fontId="47" fillId="0" borderId="0"/>
    <xf numFmtId="14" fontId="48" fillId="0" borderId="0">
      <alignment horizontal="left"/>
    </xf>
    <xf numFmtId="173" fontId="49" fillId="46" borderId="44">
      <alignment horizontal="centerContinuous" vertical="center" wrapText="1"/>
    </xf>
    <xf numFmtId="0" fontId="50" fillId="20" borderId="40"/>
    <xf numFmtId="0" fontId="51" fillId="0" borderId="0"/>
    <xf numFmtId="174" fontId="29" fillId="0" borderId="0"/>
    <xf numFmtId="0" fontId="52" fillId="0" borderId="0"/>
    <xf numFmtId="0" fontId="53" fillId="17" borderId="0"/>
    <xf numFmtId="38" fontId="47" fillId="47" borderId="0"/>
    <xf numFmtId="0" fontId="54" fillId="0" borderId="39">
      <alignment horizontal="left" vertical="center"/>
    </xf>
    <xf numFmtId="0" fontId="54" fillId="0" borderId="37">
      <alignment horizontal="left" vertical="center"/>
    </xf>
    <xf numFmtId="0" fontId="55" fillId="0" borderId="45"/>
    <xf numFmtId="0" fontId="56" fillId="0" borderId="46"/>
    <xf numFmtId="0" fontId="57" fillId="0" borderId="47"/>
    <xf numFmtId="0" fontId="57" fillId="0" borderId="0"/>
    <xf numFmtId="0" fontId="58" fillId="0" borderId="0">
      <alignment vertical="top"/>
      <protection locked="0"/>
    </xf>
    <xf numFmtId="175" fontId="59" fillId="0" borderId="0">
      <alignment vertical="top"/>
      <protection locked="0"/>
    </xf>
    <xf numFmtId="0" fontId="50" fillId="20" borderId="40"/>
    <xf numFmtId="10" fontId="47" fillId="48" borderId="3"/>
    <xf numFmtId="0" fontId="60" fillId="39" borderId="0"/>
    <xf numFmtId="170" fontId="27" fillId="0" borderId="0"/>
    <xf numFmtId="168" fontId="29" fillId="0" borderId="0"/>
    <xf numFmtId="43" fontId="1" fillId="0" borderId="0"/>
    <xf numFmtId="168" fontId="29" fillId="0" borderId="0"/>
    <xf numFmtId="43" fontId="1" fillId="0" borderId="0"/>
    <xf numFmtId="0" fontId="61" fillId="0" borderId="48"/>
    <xf numFmtId="37" fontId="62" fillId="0" borderId="0">
      <alignment horizontal="left"/>
    </xf>
    <xf numFmtId="41" fontId="32" fillId="0" borderId="0"/>
    <xf numFmtId="170" fontId="29" fillId="0" borderId="0"/>
    <xf numFmtId="170" fontId="29" fillId="0" borderId="0"/>
    <xf numFmtId="170" fontId="29" fillId="0" borderId="0"/>
    <xf numFmtId="170" fontId="29" fillId="0" borderId="0"/>
    <xf numFmtId="170" fontId="29" fillId="0" borderId="0"/>
    <xf numFmtId="170" fontId="37" fillId="0" borderId="0"/>
    <xf numFmtId="170" fontId="29" fillId="0" borderId="0"/>
    <xf numFmtId="43" fontId="1" fillId="0" borderId="0"/>
    <xf numFmtId="170" fontId="29" fillId="0" borderId="0"/>
    <xf numFmtId="176" fontId="29" fillId="0" borderId="0"/>
    <xf numFmtId="176" fontId="29" fillId="0" borderId="0"/>
    <xf numFmtId="176" fontId="29" fillId="0" borderId="0"/>
    <xf numFmtId="177" fontId="29" fillId="0" borderId="0"/>
    <xf numFmtId="17" fontId="48" fillId="0" borderId="0">
      <alignment horizontal="center"/>
    </xf>
    <xf numFmtId="44" fontId="29" fillId="0" borderId="0"/>
    <xf numFmtId="44" fontId="29" fillId="0" borderId="0"/>
    <xf numFmtId="44" fontId="29" fillId="0" borderId="0"/>
    <xf numFmtId="0" fontId="63" fillId="49" borderId="0"/>
    <xf numFmtId="0" fontId="64" fillId="49" borderId="0"/>
    <xf numFmtId="178" fontId="29" fillId="0" borderId="0"/>
    <xf numFmtId="0" fontId="1" fillId="0" borderId="0"/>
    <xf numFmtId="0" fontId="27" fillId="0" borderId="0"/>
    <xf numFmtId="0" fontId="27" fillId="0" borderId="0"/>
    <xf numFmtId="0" fontId="27" fillId="0" borderId="0"/>
    <xf numFmtId="0" fontId="27" fillId="0" borderId="0"/>
    <xf numFmtId="0" fontId="29" fillId="0" borderId="0"/>
    <xf numFmtId="0" fontId="29" fillId="0" borderId="0"/>
    <xf numFmtId="0" fontId="29" fillId="0" borderId="0"/>
    <xf numFmtId="0" fontId="29" fillId="0" borderId="0"/>
    <xf numFmtId="0" fontId="29" fillId="0" borderId="0"/>
    <xf numFmtId="0" fontId="29" fillId="0" borderId="0"/>
    <xf numFmtId="0" fontId="37" fillId="0" borderId="0"/>
    <xf numFmtId="0" fontId="29" fillId="0" borderId="0">
      <alignment vertical="center"/>
    </xf>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7"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7" fillId="0" borderId="0"/>
    <xf numFmtId="0" fontId="27" fillId="0" borderId="0"/>
    <xf numFmtId="0" fontId="65"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66"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alignment vertical="center"/>
    </xf>
    <xf numFmtId="0" fontId="47" fillId="0" borderId="0"/>
    <xf numFmtId="0" fontId="29" fillId="0" borderId="0"/>
    <xf numFmtId="0" fontId="29" fillId="0" borderId="0"/>
    <xf numFmtId="0" fontId="29" fillId="0" borderId="0"/>
    <xf numFmtId="0" fontId="29" fillId="0" borderId="0"/>
    <xf numFmtId="0" fontId="29" fillId="0" borderId="0">
      <alignment vertical="center"/>
    </xf>
    <xf numFmtId="0" fontId="1" fillId="0" borderId="0"/>
    <xf numFmtId="0" fontId="29" fillId="0" borderId="0"/>
    <xf numFmtId="0" fontId="29" fillId="0" borderId="0"/>
    <xf numFmtId="0" fontId="29" fillId="0" borderId="0"/>
    <xf numFmtId="0" fontId="29" fillId="0" borderId="0"/>
    <xf numFmtId="0" fontId="27" fillId="0" borderId="0"/>
    <xf numFmtId="0" fontId="27" fillId="0" borderId="0"/>
    <xf numFmtId="0" fontId="29" fillId="0" borderId="0">
      <alignment vertical="center"/>
    </xf>
    <xf numFmtId="0" fontId="29" fillId="0" borderId="0"/>
    <xf numFmtId="0" fontId="29" fillId="0" borderId="0"/>
    <xf numFmtId="0" fontId="29" fillId="0" borderId="0"/>
    <xf numFmtId="0" fontId="29" fillId="0" borderId="0">
      <alignment vertical="center"/>
    </xf>
    <xf numFmtId="0" fontId="29" fillId="0" borderId="0">
      <alignment vertical="center"/>
    </xf>
    <xf numFmtId="0" fontId="29" fillId="0" borderId="0"/>
    <xf numFmtId="0" fontId="27" fillId="0" borderId="0"/>
    <xf numFmtId="0" fontId="27" fillId="0" borderId="0"/>
    <xf numFmtId="0" fontId="29" fillId="0" borderId="0">
      <alignment vertical="center"/>
    </xf>
    <xf numFmtId="0" fontId="29" fillId="0" borderId="0"/>
    <xf numFmtId="0" fontId="29" fillId="0" borderId="0"/>
    <xf numFmtId="0" fontId="29" fillId="0" borderId="0"/>
    <xf numFmtId="0" fontId="27" fillId="0" borderId="0"/>
    <xf numFmtId="0" fontId="29" fillId="0" borderId="0"/>
    <xf numFmtId="0" fontId="29" fillId="0" borderId="0"/>
    <xf numFmtId="0" fontId="67" fillId="0" borderId="0"/>
    <xf numFmtId="0" fontId="27" fillId="45" borderId="43"/>
    <xf numFmtId="0" fontId="27" fillId="45" borderId="43"/>
    <xf numFmtId="0" fontId="27" fillId="45" borderId="43"/>
    <xf numFmtId="0" fontId="1" fillId="11" borderId="2"/>
    <xf numFmtId="179" fontId="29" fillId="0" borderId="0"/>
    <xf numFmtId="180" fontId="29" fillId="0" borderId="0"/>
    <xf numFmtId="0" fontId="68" fillId="36" borderId="49"/>
    <xf numFmtId="14" fontId="39" fillId="0" borderId="0">
      <alignment horizontal="center" wrapText="1"/>
      <protection locked="0"/>
    </xf>
    <xf numFmtId="10" fontId="29" fillId="0" borderId="0"/>
    <xf numFmtId="9" fontId="29" fillId="0" borderId="0"/>
    <xf numFmtId="9" fontId="29" fillId="0" borderId="0"/>
    <xf numFmtId="9" fontId="29" fillId="0" borderId="0"/>
    <xf numFmtId="9" fontId="29" fillId="0" borderId="0"/>
    <xf numFmtId="9" fontId="29" fillId="0" borderId="0"/>
    <xf numFmtId="9" fontId="29" fillId="0" borderId="0"/>
    <xf numFmtId="9" fontId="29" fillId="0" borderId="0"/>
    <xf numFmtId="9" fontId="29" fillId="0" borderId="0"/>
    <xf numFmtId="9" fontId="37" fillId="0" borderId="0"/>
    <xf numFmtId="9" fontId="29" fillId="0" borderId="0"/>
    <xf numFmtId="9" fontId="1" fillId="0" borderId="0"/>
    <xf numFmtId="9" fontId="29" fillId="0" borderId="0"/>
    <xf numFmtId="181" fontId="29" fillId="0" borderId="0"/>
    <xf numFmtId="9" fontId="27" fillId="0" borderId="0"/>
    <xf numFmtId="9" fontId="29" fillId="0" borderId="0"/>
    <xf numFmtId="9" fontId="29" fillId="0" borderId="0"/>
    <xf numFmtId="9" fontId="1" fillId="0" borderId="0"/>
    <xf numFmtId="9" fontId="1" fillId="0" borderId="0"/>
    <xf numFmtId="9" fontId="29" fillId="0" borderId="0"/>
    <xf numFmtId="9" fontId="29" fillId="0" borderId="0"/>
    <xf numFmtId="0" fontId="69" fillId="0" borderId="11">
      <alignment horizontal="center"/>
    </xf>
    <xf numFmtId="4" fontId="70" fillId="40" borderId="50">
      <alignment vertical="center"/>
    </xf>
    <xf numFmtId="4" fontId="70" fillId="40" borderId="50">
      <alignment horizontal="left" vertical="center" indent="1"/>
    </xf>
    <xf numFmtId="4" fontId="36" fillId="36" borderId="51">
      <alignment horizontal="right" vertical="center"/>
    </xf>
    <xf numFmtId="0" fontId="71" fillId="33" borderId="0"/>
    <xf numFmtId="43" fontId="29" fillId="0" borderId="0"/>
    <xf numFmtId="0" fontId="68" fillId="16" borderId="49"/>
    <xf numFmtId="173" fontId="72" fillId="0" borderId="0"/>
    <xf numFmtId="0" fontId="29" fillId="0" borderId="0"/>
    <xf numFmtId="0" fontId="1" fillId="0" borderId="0"/>
    <xf numFmtId="0" fontId="1" fillId="0" borderId="0"/>
    <xf numFmtId="0" fontId="29" fillId="0" borderId="0">
      <alignment vertical="center"/>
    </xf>
    <xf numFmtId="0" fontId="73" fillId="48" borderId="3">
      <alignment vertical="center"/>
    </xf>
    <xf numFmtId="0" fontId="74" fillId="50" borderId="0">
      <alignment vertical="center"/>
    </xf>
    <xf numFmtId="0" fontId="73" fillId="51" borderId="3">
      <alignment vertical="center"/>
    </xf>
    <xf numFmtId="49" fontId="75" fillId="52" borderId="38">
      <alignment vertical="center"/>
    </xf>
    <xf numFmtId="49" fontId="73" fillId="53" borderId="38">
      <alignment vertical="center"/>
    </xf>
    <xf numFmtId="0" fontId="76" fillId="54" borderId="52">
      <alignment horizontal="centerContinuous" vertical="center"/>
    </xf>
    <xf numFmtId="0" fontId="77" fillId="55" borderId="53">
      <alignment horizontal="centerContinuous" vertical="center"/>
    </xf>
    <xf numFmtId="0" fontId="52" fillId="0" borderId="0"/>
    <xf numFmtId="3" fontId="78" fillId="56" borderId="54"/>
    <xf numFmtId="0" fontId="79" fillId="0" borderId="0"/>
    <xf numFmtId="0" fontId="80" fillId="0" borderId="0"/>
    <xf numFmtId="0" fontId="81" fillId="0" borderId="55"/>
    <xf numFmtId="0" fontId="82" fillId="0" borderId="56"/>
    <xf numFmtId="0" fontId="83" fillId="0" borderId="57"/>
    <xf numFmtId="0" fontId="83" fillId="0" borderId="0"/>
    <xf numFmtId="0" fontId="26" fillId="0" borderId="58"/>
    <xf numFmtId="0" fontId="84" fillId="0" borderId="59"/>
    <xf numFmtId="41" fontId="85" fillId="0" borderId="0"/>
    <xf numFmtId="43" fontId="85" fillId="0" borderId="0"/>
    <xf numFmtId="42" fontId="32" fillId="0" borderId="0"/>
    <xf numFmtId="0" fontId="86" fillId="44" borderId="42"/>
    <xf numFmtId="168" fontId="29" fillId="0" borderId="0"/>
    <xf numFmtId="168" fontId="29" fillId="0" borderId="0"/>
    <xf numFmtId="168" fontId="29" fillId="0" borderId="0"/>
    <xf numFmtId="44" fontId="27" fillId="0" borderId="0"/>
    <xf numFmtId="170" fontId="1" fillId="0" borderId="0"/>
    <xf numFmtId="43" fontId="29" fillId="0" borderId="0"/>
    <xf numFmtId="43" fontId="1" fillId="0" borderId="0"/>
    <xf numFmtId="44" fontId="29" fillId="0" borderId="0"/>
    <xf numFmtId="44" fontId="29" fillId="0" borderId="0"/>
    <xf numFmtId="44" fontId="29" fillId="0" borderId="0"/>
    <xf numFmtId="44" fontId="29" fillId="0" borderId="0"/>
    <xf numFmtId="182" fontId="29" fillId="0" borderId="0"/>
    <xf numFmtId="44" fontId="29" fillId="0" borderId="0"/>
    <xf numFmtId="44" fontId="29" fillId="0" borderId="0"/>
    <xf numFmtId="44" fontId="29" fillId="0" borderId="0"/>
    <xf numFmtId="0" fontId="24" fillId="0" borderId="0"/>
    <xf numFmtId="0" fontId="31"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29" fillId="0" borderId="0"/>
    <xf numFmtId="43" fontId="29" fillId="0" borderId="0"/>
    <xf numFmtId="183" fontId="29" fillId="0" borderId="0"/>
    <xf numFmtId="43" fontId="1" fillId="0" borderId="0"/>
    <xf numFmtId="43" fontId="1" fillId="0" borderId="0"/>
    <xf numFmtId="43" fontId="1" fillId="0" borderId="0"/>
    <xf numFmtId="43" fontId="1" fillId="0" borderId="0"/>
    <xf numFmtId="43" fontId="29" fillId="0" borderId="0"/>
    <xf numFmtId="43" fontId="1" fillId="0" borderId="0"/>
    <xf numFmtId="43" fontId="1" fillId="0" borderId="0"/>
    <xf numFmtId="43" fontId="1" fillId="0" borderId="0"/>
    <xf numFmtId="43" fontId="1"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1" fillId="0" borderId="0"/>
    <xf numFmtId="43" fontId="1"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37" fillId="0" borderId="0"/>
    <xf numFmtId="43" fontId="37" fillId="0" borderId="0"/>
    <xf numFmtId="43" fontId="37" fillId="0" borderId="0"/>
    <xf numFmtId="43" fontId="37" fillId="0" borderId="0"/>
    <xf numFmtId="43" fontId="37" fillId="0" borderId="0"/>
    <xf numFmtId="43" fontId="37" fillId="0" borderId="0"/>
    <xf numFmtId="43" fontId="37"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29" fillId="0" borderId="0"/>
    <xf numFmtId="43" fontId="29" fillId="0" borderId="0"/>
    <xf numFmtId="43" fontId="29" fillId="0" borderId="0"/>
    <xf numFmtId="43" fontId="29" fillId="0" borderId="0"/>
    <xf numFmtId="43" fontId="29" fillId="0" borderId="0"/>
    <xf numFmtId="43" fontId="1" fillId="0" borderId="0"/>
    <xf numFmtId="43" fontId="1" fillId="0" borderId="0"/>
    <xf numFmtId="44" fontId="29" fillId="0" borderId="0"/>
    <xf numFmtId="44" fontId="29" fillId="0" borderId="0"/>
    <xf numFmtId="44" fontId="29" fillId="0" borderId="0"/>
    <xf numFmtId="44" fontId="29" fillId="0" borderId="0"/>
    <xf numFmtId="44" fontId="29" fillId="0" borderId="0"/>
    <xf numFmtId="44" fontId="29" fillId="0" borderId="0"/>
    <xf numFmtId="44" fontId="29" fillId="0" borderId="0"/>
    <xf numFmtId="44" fontId="29" fillId="0" borderId="0"/>
    <xf numFmtId="44" fontId="29" fillId="0" borderId="0"/>
    <xf numFmtId="44" fontId="29" fillId="0" borderId="0"/>
    <xf numFmtId="44" fontId="29" fillId="0" borderId="0"/>
    <xf numFmtId="44" fontId="29" fillId="0" borderId="0"/>
    <xf numFmtId="44" fontId="29" fillId="0" borderId="0"/>
    <xf numFmtId="44" fontId="29" fillId="0" borderId="0"/>
    <xf numFmtId="44" fontId="29" fillId="0" borderId="0"/>
    <xf numFmtId="44" fontId="29" fillId="0" borderId="0"/>
    <xf numFmtId="44" fontId="29" fillId="0" borderId="0"/>
    <xf numFmtId="44" fontId="29" fillId="0" borderId="0"/>
    <xf numFmtId="44" fontId="29" fillId="0" borderId="0"/>
    <xf numFmtId="44" fontId="29" fillId="0" borderId="0"/>
    <xf numFmtId="44" fontId="29" fillId="0" borderId="0"/>
    <xf numFmtId="167" fontId="1" fillId="0" borderId="0"/>
    <xf numFmtId="167"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 fillId="0" borderId="0"/>
    <xf numFmtId="0" fontId="1" fillId="0" borderId="0"/>
    <xf numFmtId="0" fontId="29" fillId="0" borderId="0"/>
    <xf numFmtId="0" fontId="29" fillId="0" borderId="0"/>
    <xf numFmtId="0" fontId="1" fillId="0" borderId="0"/>
    <xf numFmtId="0" fontId="1" fillId="0" borderId="0"/>
    <xf numFmtId="0" fontId="1" fillId="0" borderId="0"/>
    <xf numFmtId="0" fontId="1" fillId="0" borderId="0"/>
    <xf numFmtId="0" fontId="29" fillId="0" borderId="0"/>
    <xf numFmtId="0" fontId="28" fillId="0" borderId="0"/>
    <xf numFmtId="0" fontId="1" fillId="0" borderId="0"/>
    <xf numFmtId="0" fontId="1" fillId="0" borderId="0"/>
    <xf numFmtId="0" fontId="1" fillId="0" borderId="0"/>
    <xf numFmtId="0" fontId="1" fillId="0" borderId="0"/>
    <xf numFmtId="0" fontId="1" fillId="0" borderId="0"/>
    <xf numFmtId="0" fontId="29" fillId="0" borderId="0"/>
    <xf numFmtId="0" fontId="29" fillId="0" borderId="0"/>
    <xf numFmtId="0" fontId="2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1" borderId="2"/>
    <xf numFmtId="0" fontId="1" fillId="11" borderId="2"/>
    <xf numFmtId="0" fontId="1" fillId="11" borderId="2"/>
    <xf numFmtId="0" fontId="1" fillId="11" borderId="2"/>
    <xf numFmtId="0" fontId="1" fillId="11" borderId="2"/>
    <xf numFmtId="0" fontId="1" fillId="11" borderId="2"/>
    <xf numFmtId="0" fontId="1" fillId="11" borderId="2"/>
    <xf numFmtId="0" fontId="1" fillId="11" borderId="2"/>
    <xf numFmtId="0" fontId="1" fillId="11" borderId="2"/>
    <xf numFmtId="0" fontId="1" fillId="11" borderId="2"/>
    <xf numFmtId="0" fontId="1" fillId="11" borderId="2"/>
    <xf numFmtId="0" fontId="1" fillId="11" borderId="2"/>
    <xf numFmtId="0" fontId="1" fillId="11" borderId="2"/>
    <xf numFmtId="0" fontId="1" fillId="11" borderId="2"/>
    <xf numFmtId="0" fontId="1" fillId="11" borderId="2"/>
    <xf numFmtId="0" fontId="1" fillId="11" borderId="2"/>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29" fillId="0" borderId="0"/>
    <xf numFmtId="9" fontId="29" fillId="0" borderId="0"/>
    <xf numFmtId="9" fontId="29"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9" fontId="1" fillId="0" borderId="0"/>
    <xf numFmtId="4" fontId="87" fillId="36" borderId="51">
      <alignment horizontal="left" vertical="center" indent="1"/>
    </xf>
    <xf numFmtId="4" fontId="32" fillId="29" borderId="36">
      <alignment horizontal="left" vertical="center" indent="1"/>
    </xf>
    <xf numFmtId="0" fontId="27" fillId="0" borderId="0"/>
    <xf numFmtId="0" fontId="3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7" fillId="0" borderId="0"/>
    <xf numFmtId="0" fontId="1" fillId="0" borderId="0"/>
    <xf numFmtId="0" fontId="1" fillId="0" borderId="0"/>
    <xf numFmtId="0" fontId="51" fillId="0" borderId="0"/>
    <xf numFmtId="0" fontId="34" fillId="0" borderId="0"/>
    <xf numFmtId="44" fontId="27" fillId="0" borderId="0"/>
    <xf numFmtId="44" fontId="27" fillId="0" borderId="0"/>
    <xf numFmtId="44" fontId="27" fillId="0" borderId="0"/>
    <xf numFmtId="44" fontId="27" fillId="0" borderId="0"/>
    <xf numFmtId="44" fontId="29" fillId="0" borderId="0"/>
    <xf numFmtId="43" fontId="27" fillId="0" borderId="0"/>
    <xf numFmtId="43" fontId="1" fillId="0" borderId="0"/>
    <xf numFmtId="43" fontId="1" fillId="0" borderId="0"/>
    <xf numFmtId="43" fontId="1" fillId="0" borderId="0"/>
    <xf numFmtId="43" fontId="29" fillId="0" borderId="0"/>
    <xf numFmtId="43" fontId="29" fillId="0" borderId="0"/>
    <xf numFmtId="43" fontId="29" fillId="0" borderId="0"/>
    <xf numFmtId="43" fontId="29" fillId="0" borderId="0"/>
    <xf numFmtId="43" fontId="29" fillId="0" borderId="0"/>
    <xf numFmtId="43" fontId="29" fillId="0" borderId="0"/>
    <xf numFmtId="43" fontId="37" fillId="0" borderId="0"/>
    <xf numFmtId="43" fontId="29" fillId="0" borderId="0"/>
    <xf numFmtId="43" fontId="1" fillId="0" borderId="0"/>
    <xf numFmtId="43" fontId="29" fillId="0" borderId="0"/>
    <xf numFmtId="43" fontId="1" fillId="0" borderId="0"/>
    <xf numFmtId="44" fontId="29" fillId="0" borderId="0"/>
    <xf numFmtId="44" fontId="29" fillId="0" borderId="0"/>
    <xf numFmtId="44" fontId="29" fillId="0" borderId="0"/>
    <xf numFmtId="0" fontId="1" fillId="0" borderId="0"/>
    <xf numFmtId="0" fontId="1" fillId="0" borderId="0"/>
    <xf numFmtId="0" fontId="1" fillId="0" borderId="0"/>
    <xf numFmtId="0" fontId="1" fillId="11" borderId="2"/>
    <xf numFmtId="9" fontId="1" fillId="0" borderId="0"/>
    <xf numFmtId="9" fontId="1" fillId="0" borderId="0"/>
    <xf numFmtId="9" fontId="1" fillId="0" borderId="0"/>
    <xf numFmtId="9" fontId="1" fillId="0" borderId="0"/>
    <xf numFmtId="0" fontId="1" fillId="0" borderId="0"/>
    <xf numFmtId="0" fontId="1" fillId="0" borderId="0"/>
    <xf numFmtId="0" fontId="1" fillId="0" borderId="0"/>
    <xf numFmtId="0" fontId="29" fillId="0" borderId="0"/>
    <xf numFmtId="0" fontId="29" fillId="0" borderId="0"/>
    <xf numFmtId="0" fontId="1" fillId="0" borderId="0"/>
    <xf numFmtId="43" fontId="35" fillId="0" borderId="0">
      <alignment vertical="center"/>
    </xf>
    <xf numFmtId="0" fontId="89" fillId="0" borderId="0"/>
    <xf numFmtId="43" fontId="1" fillId="0" borderId="0"/>
    <xf numFmtId="4" fontId="32" fillId="29" borderId="36">
      <alignment horizontal="left" vertical="center" indent="1"/>
    </xf>
    <xf numFmtId="0" fontId="43" fillId="16" borderId="40"/>
    <xf numFmtId="0" fontId="44" fillId="36" borderId="40"/>
    <xf numFmtId="0" fontId="29" fillId="45" borderId="43"/>
    <xf numFmtId="0" fontId="50" fillId="20" borderId="40"/>
    <xf numFmtId="0" fontId="54" fillId="0" borderId="37">
      <alignment horizontal="left" vertical="center"/>
    </xf>
    <xf numFmtId="0" fontId="50" fillId="20" borderId="40"/>
    <xf numFmtId="10" fontId="47" fillId="48" borderId="60"/>
    <xf numFmtId="0" fontId="27" fillId="45" borderId="43"/>
    <xf numFmtId="0" fontId="27" fillId="45" borderId="43"/>
    <xf numFmtId="0" fontId="27" fillId="45" borderId="43"/>
    <xf numFmtId="0" fontId="68" fillId="36" borderId="49"/>
    <xf numFmtId="0" fontId="68" fillId="16" borderId="49"/>
    <xf numFmtId="0" fontId="73" fillId="48" borderId="60">
      <alignment vertical="center"/>
    </xf>
    <xf numFmtId="0" fontId="73" fillId="51" borderId="60">
      <alignment vertical="center"/>
    </xf>
    <xf numFmtId="3" fontId="78" fillId="56" borderId="54"/>
    <xf numFmtId="0" fontId="26" fillId="0" borderId="58"/>
    <xf numFmtId="0" fontId="84" fillId="0" borderId="59"/>
    <xf numFmtId="0" fontId="73" fillId="51" borderId="60">
      <alignment vertical="center"/>
    </xf>
    <xf numFmtId="0" fontId="73" fillId="48" borderId="60">
      <alignment vertical="center"/>
    </xf>
    <xf numFmtId="10" fontId="47" fillId="48" borderId="60"/>
    <xf numFmtId="0" fontId="50" fillId="20" borderId="40"/>
    <xf numFmtId="4" fontId="32" fillId="29" borderId="36">
      <alignment horizontal="left" vertical="center" indent="1"/>
    </xf>
    <xf numFmtId="4" fontId="32" fillId="29" borderId="36">
      <alignment horizontal="left" vertical="center" indent="1"/>
    </xf>
    <xf numFmtId="0" fontId="50" fillId="20" borderId="40"/>
    <xf numFmtId="10" fontId="47" fillId="48" borderId="60"/>
    <xf numFmtId="0" fontId="84" fillId="0" borderId="59"/>
    <xf numFmtId="0" fontId="68" fillId="16" borderId="49"/>
    <xf numFmtId="0" fontId="68" fillId="36" borderId="49"/>
    <xf numFmtId="0" fontId="27" fillId="45" borderId="43"/>
    <xf numFmtId="0" fontId="27" fillId="45" borderId="43"/>
    <xf numFmtId="0" fontId="27" fillId="45" borderId="43"/>
    <xf numFmtId="0" fontId="43" fillId="16" borderId="40"/>
    <xf numFmtId="0" fontId="73" fillId="48" borderId="60">
      <alignment vertical="center"/>
    </xf>
    <xf numFmtId="4" fontId="32" fillId="29" borderId="36">
      <alignment horizontal="left" vertical="center" indent="1"/>
    </xf>
    <xf numFmtId="0" fontId="73" fillId="51" borderId="60">
      <alignment vertical="center"/>
    </xf>
    <xf numFmtId="0" fontId="76" fillId="54" borderId="52">
      <alignment horizontal="centerContinuous" vertical="center"/>
    </xf>
    <xf numFmtId="0" fontId="50" fillId="20" borderId="40"/>
    <xf numFmtId="0" fontId="26" fillId="0" borderId="58"/>
    <xf numFmtId="3" fontId="78" fillId="56" borderId="54"/>
    <xf numFmtId="0" fontId="50" fillId="20" borderId="40"/>
    <xf numFmtId="0" fontId="50" fillId="20" borderId="40"/>
    <xf numFmtId="0" fontId="29" fillId="45" borderId="43"/>
    <xf numFmtId="0" fontId="76" fillId="54" borderId="52">
      <alignment horizontal="centerContinuous" vertical="center"/>
    </xf>
    <xf numFmtId="0" fontId="44" fillId="36" borderId="40"/>
    <xf numFmtId="4" fontId="32" fillId="29" borderId="36">
      <alignment horizontal="left" vertical="center" indent="1"/>
    </xf>
    <xf numFmtId="0" fontId="43" fillId="16" borderId="40"/>
    <xf numFmtId="0" fontId="44" fillId="36" borderId="40"/>
    <xf numFmtId="0" fontId="29" fillId="45" borderId="43"/>
    <xf numFmtId="0" fontId="50" fillId="20" borderId="40"/>
    <xf numFmtId="0" fontId="54" fillId="0" borderId="37">
      <alignment horizontal="left" vertical="center"/>
    </xf>
    <xf numFmtId="0" fontId="50" fillId="20" borderId="40"/>
    <xf numFmtId="10" fontId="47" fillId="48" borderId="60"/>
    <xf numFmtId="0" fontId="27" fillId="45" borderId="43"/>
    <xf numFmtId="0" fontId="27" fillId="45" borderId="43"/>
    <xf numFmtId="0" fontId="27" fillId="45" borderId="43"/>
    <xf numFmtId="0" fontId="68" fillId="36" borderId="49"/>
    <xf numFmtId="0" fontId="68" fillId="16" borderId="49"/>
    <xf numFmtId="0" fontId="73" fillId="48" borderId="60">
      <alignment vertical="center"/>
    </xf>
    <xf numFmtId="0" fontId="73" fillId="51" borderId="60">
      <alignment vertical="center"/>
    </xf>
    <xf numFmtId="3" fontId="78" fillId="56" borderId="54"/>
    <xf numFmtId="0" fontId="26" fillId="0" borderId="58"/>
    <xf numFmtId="0" fontId="84" fillId="0" borderId="59"/>
    <xf numFmtId="0" fontId="73" fillId="51" borderId="60">
      <alignment vertical="center"/>
    </xf>
    <xf numFmtId="0" fontId="73" fillId="48" borderId="60">
      <alignment vertical="center"/>
    </xf>
    <xf numFmtId="10" fontId="47" fillId="48" borderId="60"/>
    <xf numFmtId="0" fontId="50" fillId="20" borderId="40"/>
    <xf numFmtId="4" fontId="32" fillId="29" borderId="36">
      <alignment horizontal="left" vertical="center" indent="1"/>
    </xf>
    <xf numFmtId="4" fontId="32" fillId="29" borderId="36">
      <alignment horizontal="left" vertical="center" indent="1"/>
    </xf>
    <xf numFmtId="0" fontId="43" fillId="16" borderId="40"/>
    <xf numFmtId="0" fontId="44" fillId="36" borderId="40"/>
    <xf numFmtId="0" fontId="29" fillId="45" borderId="43"/>
    <xf numFmtId="0" fontId="50" fillId="20" borderId="40"/>
    <xf numFmtId="0" fontId="54" fillId="0" borderId="37">
      <alignment horizontal="left" vertical="center"/>
    </xf>
    <xf numFmtId="0" fontId="50" fillId="20" borderId="40"/>
    <xf numFmtId="0" fontId="27" fillId="45" borderId="43"/>
    <xf numFmtId="0" fontId="27" fillId="45" borderId="43"/>
    <xf numFmtId="0" fontId="27" fillId="45" borderId="43"/>
    <xf numFmtId="0" fontId="68" fillId="36" borderId="49"/>
    <xf numFmtId="0" fontId="68" fillId="16" borderId="49"/>
    <xf numFmtId="3" fontId="78" fillId="56" borderId="54"/>
    <xf numFmtId="0" fontId="26" fillId="0" borderId="58"/>
    <xf numFmtId="0" fontId="84" fillId="0" borderId="59"/>
    <xf numFmtId="0" fontId="50" fillId="20" borderId="40"/>
    <xf numFmtId="4" fontId="32" fillId="29" borderId="36">
      <alignment horizontal="left" vertical="center" indent="1"/>
    </xf>
    <xf numFmtId="4" fontId="32" fillId="29" borderId="36">
      <alignment horizontal="left" vertical="center" indent="1"/>
    </xf>
    <xf numFmtId="0" fontId="43" fillId="16" borderId="40"/>
    <xf numFmtId="0" fontId="44" fillId="36" borderId="40"/>
    <xf numFmtId="0" fontId="29" fillId="45" borderId="43"/>
    <xf numFmtId="0" fontId="50" fillId="20" borderId="40"/>
    <xf numFmtId="0" fontId="54" fillId="0" borderId="37">
      <alignment horizontal="left" vertical="center"/>
    </xf>
    <xf numFmtId="0" fontId="50" fillId="20" borderId="40"/>
    <xf numFmtId="10" fontId="47" fillId="48" borderId="60"/>
    <xf numFmtId="0" fontId="27" fillId="45" borderId="43"/>
    <xf numFmtId="0" fontId="27" fillId="45" borderId="43"/>
    <xf numFmtId="0" fontId="27" fillId="45" borderId="43"/>
    <xf numFmtId="0" fontId="68" fillId="36" borderId="49"/>
    <xf numFmtId="0" fontId="68" fillId="16" borderId="49"/>
    <xf numFmtId="0" fontId="73" fillId="48" borderId="60">
      <alignment vertical="center"/>
    </xf>
    <xf numFmtId="0" fontId="73" fillId="51" borderId="60">
      <alignment vertical="center"/>
    </xf>
    <xf numFmtId="3" fontId="78" fillId="56" borderId="54"/>
    <xf numFmtId="0" fontId="26" fillId="0" borderId="58"/>
    <xf numFmtId="0" fontId="84" fillId="0" borderId="59"/>
    <xf numFmtId="0" fontId="73" fillId="51" borderId="60">
      <alignment vertical="center"/>
    </xf>
    <xf numFmtId="0" fontId="73" fillId="48" borderId="60">
      <alignment vertical="center"/>
    </xf>
    <xf numFmtId="10" fontId="47" fillId="48" borderId="60"/>
    <xf numFmtId="0" fontId="50" fillId="20" borderId="40"/>
    <xf numFmtId="4" fontId="32" fillId="29" borderId="36">
      <alignment horizontal="left" vertical="center" indent="1"/>
    </xf>
    <xf numFmtId="43" fontId="115" fillId="0" borderId="0" applyFont="0" applyFill="0" applyBorder="0" applyAlignment="0" applyProtection="0"/>
    <xf numFmtId="44" fontId="115" fillId="0" borderId="0" applyFont="0" applyFill="0" applyBorder="0" applyAlignment="0" applyProtection="0"/>
    <xf numFmtId="9" fontId="115" fillId="0" borderId="0" applyFont="0" applyFill="0" applyBorder="0" applyAlignment="0" applyProtection="0"/>
    <xf numFmtId="0" fontId="125" fillId="0" borderId="0" applyNumberFormat="0" applyFill="0" applyBorder="0" applyAlignment="0" applyProtection="0"/>
  </cellStyleXfs>
  <cellXfs count="476">
    <xf numFmtId="0" fontId="0" fillId="0" borderId="0" xfId="0"/>
    <xf numFmtId="0" fontId="3" fillId="0" borderId="0" xfId="0" applyFont="1"/>
    <xf numFmtId="0" fontId="4" fillId="0" borderId="0" xfId="0" applyFont="1"/>
    <xf numFmtId="0" fontId="5" fillId="3" borderId="0" xfId="0" applyFont="1" applyFill="1" applyAlignment="1">
      <alignment horizontal="center"/>
    </xf>
    <xf numFmtId="0" fontId="6" fillId="0" borderId="0" xfId="0" applyFont="1"/>
    <xf numFmtId="0" fontId="7" fillId="2" borderId="1" xfId="0" applyFont="1" applyFill="1" applyBorder="1" applyAlignment="1">
      <alignment horizontal="center" vertical="center" wrapText="1"/>
    </xf>
    <xf numFmtId="0" fontId="8" fillId="4" borderId="1" xfId="0" applyFont="1" applyFill="1" applyBorder="1" applyAlignment="1">
      <alignment horizontal="left" vertical="center"/>
    </xf>
    <xf numFmtId="0" fontId="9" fillId="4" borderId="1" xfId="0" applyFont="1" applyFill="1" applyBorder="1" applyAlignment="1">
      <alignment horizontal="right" vertical="center"/>
    </xf>
    <xf numFmtId="0" fontId="10" fillId="4" borderId="1" xfId="0" applyFont="1" applyFill="1" applyBorder="1" applyAlignment="1">
      <alignment horizontal="right" vertical="center"/>
    </xf>
    <xf numFmtId="0" fontId="8" fillId="5" borderId="1" xfId="0" applyFont="1" applyFill="1" applyBorder="1" applyAlignment="1">
      <alignment horizontal="left" vertical="center"/>
    </xf>
    <xf numFmtId="0" fontId="9" fillId="5" borderId="1" xfId="0" applyFont="1" applyFill="1" applyBorder="1" applyAlignment="1">
      <alignment horizontal="right" vertical="center"/>
    </xf>
    <xf numFmtId="0" fontId="10" fillId="5" borderId="1" xfId="0" applyFont="1" applyFill="1" applyBorder="1" applyAlignment="1">
      <alignment horizontal="right" vertical="center"/>
    </xf>
    <xf numFmtId="0" fontId="8" fillId="6" borderId="1" xfId="0" applyFont="1" applyFill="1" applyBorder="1" applyAlignment="1">
      <alignment horizontal="left" vertical="center"/>
    </xf>
    <xf numFmtId="0" fontId="9" fillId="6" borderId="1" xfId="0" applyFont="1" applyFill="1" applyBorder="1" applyAlignment="1">
      <alignment horizontal="right" vertical="center"/>
    </xf>
    <xf numFmtId="0" fontId="10" fillId="6" borderId="1" xfId="0" applyFont="1" applyFill="1" applyBorder="1" applyAlignment="1">
      <alignment horizontal="right" vertical="center"/>
    </xf>
    <xf numFmtId="0" fontId="8" fillId="7" borderId="1" xfId="0" applyFont="1" applyFill="1" applyBorder="1" applyAlignment="1">
      <alignment horizontal="left" vertical="center"/>
    </xf>
    <xf numFmtId="0" fontId="9" fillId="7" borderId="1" xfId="0" applyFont="1" applyFill="1" applyBorder="1" applyAlignment="1">
      <alignment horizontal="right" vertical="center"/>
    </xf>
    <xf numFmtId="0" fontId="10" fillId="7" borderId="1" xfId="0" applyFont="1" applyFill="1" applyBorder="1" applyAlignment="1">
      <alignment horizontal="right" vertical="center"/>
    </xf>
    <xf numFmtId="0" fontId="12" fillId="0" borderId="0" xfId="0" applyFont="1"/>
    <xf numFmtId="0" fontId="13" fillId="3" borderId="0" xfId="0" applyFont="1" applyFill="1" applyAlignment="1">
      <alignment horizontal="center"/>
    </xf>
    <xf numFmtId="0" fontId="14" fillId="0" borderId="0" xfId="0" applyFont="1"/>
    <xf numFmtId="164" fontId="15" fillId="3" borderId="0" xfId="0" applyNumberFormat="1" applyFont="1" applyFill="1" applyAlignment="1">
      <alignment horizontal="center"/>
    </xf>
    <xf numFmtId="165" fontId="15" fillId="3" borderId="0" xfId="0" applyNumberFormat="1" applyFont="1" applyFill="1" applyAlignment="1">
      <alignment horizontal="center"/>
    </xf>
    <xf numFmtId="0" fontId="16" fillId="2" borderId="1" xfId="0" applyFont="1" applyFill="1" applyBorder="1" applyAlignment="1">
      <alignment horizontal="center" vertical="center" wrapText="1"/>
    </xf>
    <xf numFmtId="0" fontId="17" fillId="9" borderId="1" xfId="0" applyFont="1" applyFill="1" applyBorder="1" applyAlignment="1">
      <alignment horizontal="center"/>
    </xf>
    <xf numFmtId="3" fontId="10" fillId="3" borderId="1" xfId="0" applyNumberFormat="1" applyFont="1" applyFill="1" applyBorder="1" applyAlignment="1">
      <alignment horizontal="right"/>
    </xf>
    <xf numFmtId="3" fontId="4" fillId="5" borderId="1" xfId="0" applyNumberFormat="1" applyFont="1" applyFill="1" applyBorder="1" applyAlignment="1">
      <alignment horizontal="right"/>
    </xf>
    <xf numFmtId="164" fontId="10" fillId="3" borderId="1" xfId="0" applyNumberFormat="1" applyFont="1" applyFill="1" applyBorder="1" applyAlignment="1">
      <alignment horizontal="center"/>
    </xf>
    <xf numFmtId="3" fontId="18" fillId="5" borderId="1" xfId="0" applyNumberFormat="1" applyFont="1" applyFill="1" applyBorder="1" applyAlignment="1">
      <alignment horizontal="right"/>
    </xf>
    <xf numFmtId="164" fontId="17" fillId="5" borderId="1" xfId="0" applyNumberFormat="1" applyFont="1" applyFill="1" applyBorder="1" applyAlignment="1">
      <alignment horizontal="center"/>
    </xf>
    <xf numFmtId="166" fontId="4" fillId="5" borderId="1" xfId="0" applyNumberFormat="1" applyFont="1" applyFill="1" applyBorder="1" applyAlignment="1">
      <alignment horizontal="center"/>
    </xf>
    <xf numFmtId="165" fontId="4" fillId="5" borderId="1" xfId="0" applyNumberFormat="1" applyFont="1" applyFill="1" applyBorder="1" applyAlignment="1">
      <alignment horizontal="center"/>
    </xf>
    <xf numFmtId="3" fontId="4" fillId="10" borderId="1" xfId="0" applyNumberFormat="1" applyFont="1" applyFill="1" applyBorder="1" applyAlignment="1">
      <alignment horizontal="right"/>
    </xf>
    <xf numFmtId="3" fontId="18" fillId="10" borderId="1" xfId="0" applyNumberFormat="1" applyFont="1" applyFill="1" applyBorder="1" applyAlignment="1">
      <alignment horizontal="right"/>
    </xf>
    <xf numFmtId="164" fontId="17" fillId="10" borderId="1" xfId="0" applyNumberFormat="1" applyFont="1" applyFill="1" applyBorder="1" applyAlignment="1">
      <alignment horizontal="center"/>
    </xf>
    <xf numFmtId="166" fontId="4" fillId="10" borderId="1" xfId="0" applyNumberFormat="1" applyFont="1" applyFill="1" applyBorder="1" applyAlignment="1">
      <alignment horizontal="center"/>
    </xf>
    <xf numFmtId="165" fontId="4" fillId="10" borderId="1" xfId="0" applyNumberFormat="1" applyFont="1" applyFill="1" applyBorder="1" applyAlignment="1">
      <alignment horizontal="center"/>
    </xf>
    <xf numFmtId="0" fontId="7" fillId="2" borderId="1" xfId="0" applyFont="1" applyFill="1" applyBorder="1" applyAlignment="1">
      <alignment horizontal="center"/>
    </xf>
    <xf numFmtId="3" fontId="17" fillId="5" borderId="1" xfId="0" applyNumberFormat="1" applyFont="1" applyFill="1" applyBorder="1" applyAlignment="1">
      <alignment horizontal="right"/>
    </xf>
    <xf numFmtId="165" fontId="17" fillId="5" borderId="1" xfId="0" applyNumberFormat="1" applyFont="1" applyFill="1" applyBorder="1" applyAlignment="1">
      <alignment horizontal="center"/>
    </xf>
    <xf numFmtId="0" fontId="7" fillId="2" borderId="1" xfId="0" applyFont="1" applyFill="1" applyBorder="1" applyAlignment="1">
      <alignment horizontal="center" vertical="center"/>
    </xf>
    <xf numFmtId="0" fontId="8" fillId="4" borderId="1" xfId="0" applyFont="1" applyFill="1" applyBorder="1" applyAlignment="1">
      <alignment horizontal="right" vertical="center"/>
    </xf>
    <xf numFmtId="0" fontId="8" fillId="5" borderId="1" xfId="0" applyFont="1" applyFill="1" applyBorder="1" applyAlignment="1">
      <alignment horizontal="right" vertical="center"/>
    </xf>
    <xf numFmtId="0" fontId="8" fillId="6" borderId="1" xfId="0" applyFont="1" applyFill="1" applyBorder="1" applyAlignment="1">
      <alignment horizontal="right" vertical="center"/>
    </xf>
    <xf numFmtId="0" fontId="8" fillId="7" borderId="1" xfId="0" applyFont="1" applyFill="1" applyBorder="1" applyAlignment="1">
      <alignment horizontal="right" vertical="center"/>
    </xf>
    <xf numFmtId="0" fontId="20" fillId="8" borderId="0" xfId="0" applyFont="1" applyFill="1"/>
    <xf numFmtId="0" fontId="21" fillId="3" borderId="0" xfId="0" applyFont="1" applyFill="1" applyAlignment="1">
      <alignment horizontal="center"/>
    </xf>
    <xf numFmtId="1" fontId="0" fillId="0" borderId="0" xfId="0" applyNumberFormat="1"/>
    <xf numFmtId="0" fontId="23" fillId="0" borderId="3" xfId="0" applyFont="1" applyBorder="1"/>
    <xf numFmtId="0" fontId="22" fillId="12" borderId="14" xfId="0" applyFont="1" applyFill="1" applyBorder="1" applyAlignment="1">
      <alignment horizontal="center" vertical="center"/>
    </xf>
    <xf numFmtId="0" fontId="23" fillId="0" borderId="15" xfId="0" applyFont="1" applyBorder="1" applyAlignment="1">
      <alignment horizontal="center" vertical="center"/>
    </xf>
    <xf numFmtId="0" fontId="23" fillId="0" borderId="5" xfId="0" applyFont="1" applyBorder="1" applyAlignment="1">
      <alignment horizontal="center" vertical="center"/>
    </xf>
    <xf numFmtId="0" fontId="23" fillId="0" borderId="6" xfId="0" applyFon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3" xfId="0" applyBorder="1" applyAlignment="1">
      <alignment horizontal="center" vertical="center"/>
    </xf>
    <xf numFmtId="0" fontId="0" fillId="0" borderId="18" xfId="0" applyBorder="1" applyAlignment="1">
      <alignment horizontal="center" vertical="center"/>
    </xf>
    <xf numFmtId="1" fontId="0" fillId="0" borderId="19"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20" xfId="0" applyBorder="1" applyAlignment="1">
      <alignment horizontal="center" vertical="center"/>
    </xf>
    <xf numFmtId="0" fontId="0" fillId="0" borderId="14"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16" xfId="0" applyBorder="1" applyAlignment="1">
      <alignment horizontal="center" vertical="center" wrapText="1"/>
    </xf>
    <xf numFmtId="0" fontId="0" fillId="0" borderId="7"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0" xfId="0" applyAlignment="1">
      <alignment horizontal="center" vertical="center"/>
    </xf>
    <xf numFmtId="0" fontId="0" fillId="0" borderId="15"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1" fontId="0" fillId="0" borderId="26" xfId="0" applyNumberFormat="1" applyBorder="1" applyAlignment="1">
      <alignment horizontal="center" vertical="center"/>
    </xf>
    <xf numFmtId="1" fontId="0" fillId="0" borderId="0" xfId="0" applyNumberFormat="1" applyAlignment="1">
      <alignment horizontal="center"/>
    </xf>
    <xf numFmtId="1" fontId="0" fillId="0" borderId="24" xfId="0" applyNumberFormat="1" applyBorder="1" applyAlignment="1">
      <alignment horizontal="center" vertical="center"/>
    </xf>
    <xf numFmtId="1" fontId="0" fillId="0" borderId="9" xfId="0" applyNumberFormat="1" applyBorder="1" applyAlignment="1">
      <alignment horizontal="center" vertical="center"/>
    </xf>
    <xf numFmtId="1" fontId="0" fillId="0" borderId="15" xfId="0" applyNumberFormat="1" applyBorder="1" applyAlignment="1">
      <alignment horizontal="center"/>
    </xf>
    <xf numFmtId="1" fontId="0" fillId="0" borderId="27" xfId="0" applyNumberFormat="1" applyBorder="1" applyAlignment="1">
      <alignment horizontal="center"/>
    </xf>
    <xf numFmtId="1" fontId="0" fillId="0" borderId="9" xfId="0" applyNumberFormat="1" applyBorder="1" applyAlignment="1">
      <alignment horizontal="center"/>
    </xf>
    <xf numFmtId="0" fontId="0" fillId="0" borderId="25" xfId="0" applyBorder="1"/>
    <xf numFmtId="1" fontId="0" fillId="0" borderId="26" xfId="0" applyNumberFormat="1" applyBorder="1" applyAlignment="1">
      <alignment horizontal="center"/>
    </xf>
    <xf numFmtId="1" fontId="0" fillId="0" borderId="28" xfId="0" applyNumberFormat="1" applyBorder="1" applyAlignment="1">
      <alignment horizontal="center"/>
    </xf>
    <xf numFmtId="1" fontId="0" fillId="0" borderId="29" xfId="0" applyNumberFormat="1" applyBorder="1" applyAlignment="1">
      <alignment horizontal="center"/>
    </xf>
    <xf numFmtId="0" fontId="0" fillId="0" borderId="27"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8" xfId="0" applyBorder="1" applyAlignment="1">
      <alignment horizontal="center" vertical="center"/>
    </xf>
    <xf numFmtId="0" fontId="0" fillId="0" borderId="32" xfId="0" applyBorder="1" applyAlignment="1">
      <alignment horizontal="center" vertical="center"/>
    </xf>
    <xf numFmtId="0" fontId="0" fillId="0" borderId="28"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29" xfId="0" applyBorder="1" applyAlignment="1">
      <alignment horizontal="center" vertical="center"/>
    </xf>
    <xf numFmtId="0" fontId="0" fillId="0" borderId="35" xfId="0" applyBorder="1" applyAlignment="1">
      <alignment horizontal="center" vertical="center"/>
    </xf>
    <xf numFmtId="0" fontId="0" fillId="0" borderId="19" xfId="0" applyBorder="1" applyAlignment="1">
      <alignment horizontal="center" vertical="center"/>
    </xf>
    <xf numFmtId="0" fontId="0" fillId="0" borderId="26" xfId="0" applyBorder="1" applyAlignment="1">
      <alignment horizontal="center" vertical="center"/>
    </xf>
    <xf numFmtId="3" fontId="88" fillId="0" borderId="0" xfId="0" applyNumberFormat="1" applyFont="1" applyAlignment="1">
      <alignment horizontal="center"/>
    </xf>
    <xf numFmtId="3" fontId="0" fillId="0" borderId="0" xfId="0" applyNumberFormat="1" applyAlignment="1">
      <alignment horizontal="center"/>
    </xf>
    <xf numFmtId="0" fontId="93" fillId="0" borderId="0" xfId="0" applyFont="1"/>
    <xf numFmtId="0" fontId="94" fillId="58" borderId="0" xfId="0" applyFont="1" applyFill="1" applyAlignment="1">
      <alignment horizontal="center"/>
    </xf>
    <xf numFmtId="0" fontId="95" fillId="0" borderId="0" xfId="0" applyFont="1"/>
    <xf numFmtId="0" fontId="98" fillId="57" borderId="66" xfId="0" applyFont="1" applyFill="1" applyBorder="1" applyAlignment="1">
      <alignment horizontal="center" vertical="center" wrapText="1"/>
    </xf>
    <xf numFmtId="0" fontId="99" fillId="61" borderId="66" xfId="0" applyFont="1" applyFill="1" applyBorder="1" applyAlignment="1">
      <alignment horizontal="left" vertical="center"/>
    </xf>
    <xf numFmtId="0" fontId="100" fillId="61" borderId="66" xfId="0" applyFont="1" applyFill="1" applyBorder="1" applyAlignment="1">
      <alignment horizontal="left" vertical="center"/>
    </xf>
    <xf numFmtId="0" fontId="101" fillId="62" borderId="66" xfId="0" applyFont="1" applyFill="1" applyBorder="1" applyAlignment="1">
      <alignment horizontal="center" vertical="center"/>
    </xf>
    <xf numFmtId="184" fontId="102" fillId="58" borderId="66" xfId="0" applyNumberFormat="1" applyFont="1" applyFill="1" applyBorder="1" applyAlignment="1">
      <alignment horizontal="right"/>
    </xf>
    <xf numFmtId="0" fontId="95" fillId="62" borderId="66" xfId="0" applyFont="1" applyFill="1" applyBorder="1" applyAlignment="1">
      <alignment horizontal="center" vertical="center"/>
    </xf>
    <xf numFmtId="3" fontId="94" fillId="61" borderId="66" xfId="0" applyNumberFormat="1" applyFont="1" applyFill="1" applyBorder="1" applyAlignment="1">
      <alignment horizontal="right"/>
    </xf>
    <xf numFmtId="165" fontId="103" fillId="58" borderId="66" xfId="0" applyNumberFormat="1" applyFont="1" applyFill="1" applyBorder="1" applyAlignment="1">
      <alignment horizontal="center"/>
    </xf>
    <xf numFmtId="165" fontId="104" fillId="58" borderId="66" xfId="0" applyNumberFormat="1" applyFont="1" applyFill="1" applyBorder="1" applyAlignment="1">
      <alignment horizontal="center"/>
    </xf>
    <xf numFmtId="0" fontId="95" fillId="62" borderId="66" xfId="0" applyFont="1" applyFill="1" applyBorder="1" applyAlignment="1">
      <alignment horizontal="left" vertical="center"/>
    </xf>
    <xf numFmtId="0" fontId="99" fillId="59" borderId="66" xfId="0" applyFont="1" applyFill="1" applyBorder="1" applyAlignment="1">
      <alignment horizontal="left" vertical="center"/>
    </xf>
    <xf numFmtId="0" fontId="100" fillId="59" borderId="66" xfId="0" applyFont="1" applyFill="1" applyBorder="1" applyAlignment="1">
      <alignment horizontal="left" vertical="center"/>
    </xf>
    <xf numFmtId="3" fontId="94" fillId="59" borderId="66" xfId="0" applyNumberFormat="1" applyFont="1" applyFill="1" applyBorder="1" applyAlignment="1">
      <alignment horizontal="right"/>
    </xf>
    <xf numFmtId="0" fontId="99" fillId="63" borderId="66" xfId="0" applyFont="1" applyFill="1" applyBorder="1" applyAlignment="1">
      <alignment horizontal="left" vertical="center"/>
    </xf>
    <xf numFmtId="0" fontId="100" fillId="63" borderId="66" xfId="0" applyFont="1" applyFill="1" applyBorder="1" applyAlignment="1">
      <alignment horizontal="left" vertical="center"/>
    </xf>
    <xf numFmtId="3" fontId="94" fillId="63" borderId="66" xfId="0" applyNumberFormat="1" applyFont="1" applyFill="1" applyBorder="1" applyAlignment="1">
      <alignment horizontal="right"/>
    </xf>
    <xf numFmtId="0" fontId="99" fillId="64" borderId="66" xfId="0" applyFont="1" applyFill="1" applyBorder="1" applyAlignment="1">
      <alignment horizontal="left" vertical="center"/>
    </xf>
    <xf numFmtId="0" fontId="100" fillId="64" borderId="66" xfId="0" applyFont="1" applyFill="1" applyBorder="1" applyAlignment="1">
      <alignment horizontal="left" vertical="center"/>
    </xf>
    <xf numFmtId="3" fontId="94" fillId="64" borderId="66" xfId="0" applyNumberFormat="1" applyFont="1" applyFill="1" applyBorder="1" applyAlignment="1">
      <alignment horizontal="right"/>
    </xf>
    <xf numFmtId="0" fontId="99" fillId="65" borderId="66" xfId="0" applyFont="1" applyFill="1" applyBorder="1" applyAlignment="1">
      <alignment horizontal="left" vertical="center"/>
    </xf>
    <xf numFmtId="0" fontId="100" fillId="65" borderId="66" xfId="0" applyFont="1" applyFill="1" applyBorder="1" applyAlignment="1">
      <alignment horizontal="left" vertical="center"/>
    </xf>
    <xf numFmtId="3" fontId="94" fillId="65" borderId="66" xfId="0" applyNumberFormat="1" applyFont="1" applyFill="1" applyBorder="1" applyAlignment="1">
      <alignment horizontal="right"/>
    </xf>
    <xf numFmtId="164" fontId="108" fillId="58" borderId="66" xfId="0" applyNumberFormat="1" applyFont="1" applyFill="1" applyBorder="1" applyAlignment="1">
      <alignment horizontal="center" vertical="center"/>
    </xf>
    <xf numFmtId="0" fontId="98" fillId="67" borderId="66" xfId="0" applyFont="1" applyFill="1" applyBorder="1" applyAlignment="1">
      <alignment horizontal="center" vertical="center" wrapText="1"/>
    </xf>
    <xf numFmtId="0" fontId="110" fillId="68" borderId="66" xfId="0" applyFont="1" applyFill="1" applyBorder="1" applyAlignment="1">
      <alignment horizontal="left" vertical="center"/>
    </xf>
    <xf numFmtId="0" fontId="100" fillId="68" borderId="66" xfId="0" applyFont="1" applyFill="1" applyBorder="1" applyAlignment="1">
      <alignment horizontal="left" vertical="center"/>
    </xf>
    <xf numFmtId="3" fontId="94" fillId="68" borderId="66" xfId="0" applyNumberFormat="1" applyFont="1" applyFill="1" applyBorder="1" applyAlignment="1">
      <alignment horizontal="right"/>
    </xf>
    <xf numFmtId="0" fontId="110" fillId="69" borderId="66" xfId="0" applyFont="1" applyFill="1" applyBorder="1" applyAlignment="1">
      <alignment horizontal="left" vertical="center"/>
    </xf>
    <xf numFmtId="0" fontId="100" fillId="69" borderId="66" xfId="0" applyFont="1" applyFill="1" applyBorder="1" applyAlignment="1">
      <alignment horizontal="left" vertical="center"/>
    </xf>
    <xf numFmtId="3" fontId="94" fillId="69" borderId="66" xfId="0" applyNumberFormat="1" applyFont="1" applyFill="1" applyBorder="1" applyAlignment="1">
      <alignment horizontal="right"/>
    </xf>
    <xf numFmtId="0" fontId="110" fillId="63" borderId="66" xfId="0" applyFont="1" applyFill="1" applyBorder="1" applyAlignment="1">
      <alignment horizontal="left" vertical="center"/>
    </xf>
    <xf numFmtId="0" fontId="110" fillId="59" borderId="66" xfId="0" applyFont="1" applyFill="1" applyBorder="1" applyAlignment="1">
      <alignment horizontal="left" vertical="center"/>
    </xf>
    <xf numFmtId="0" fontId="110" fillId="70" borderId="66" xfId="0" applyFont="1" applyFill="1" applyBorder="1" applyAlignment="1">
      <alignment horizontal="left" vertical="center"/>
    </xf>
    <xf numFmtId="0" fontId="100" fillId="70" borderId="66" xfId="0" applyFont="1" applyFill="1" applyBorder="1" applyAlignment="1">
      <alignment horizontal="left" vertical="center"/>
    </xf>
    <xf numFmtId="3" fontId="94" fillId="70" borderId="66" xfId="0" applyNumberFormat="1" applyFont="1" applyFill="1" applyBorder="1" applyAlignment="1">
      <alignment horizontal="right"/>
    </xf>
    <xf numFmtId="0" fontId="110" fillId="65" borderId="66" xfId="0" applyFont="1" applyFill="1" applyBorder="1" applyAlignment="1">
      <alignment horizontal="left" vertical="center"/>
    </xf>
    <xf numFmtId="164" fontId="113" fillId="58" borderId="0" xfId="0" applyNumberFormat="1" applyFont="1" applyFill="1" applyAlignment="1">
      <alignment horizontal="center"/>
    </xf>
    <xf numFmtId="164" fontId="114" fillId="58" borderId="0" xfId="0" applyNumberFormat="1" applyFont="1" applyFill="1" applyAlignment="1">
      <alignment horizontal="center"/>
    </xf>
    <xf numFmtId="9" fontId="113" fillId="58" borderId="0" xfId="0" applyNumberFormat="1" applyFont="1" applyFill="1" applyAlignment="1">
      <alignment horizontal="center"/>
    </xf>
    <xf numFmtId="0" fontId="101" fillId="71" borderId="0" xfId="0" applyFont="1" applyFill="1" applyAlignment="1">
      <alignment horizontal="center"/>
    </xf>
    <xf numFmtId="1" fontId="94" fillId="58" borderId="0" xfId="0" applyNumberFormat="1" applyFont="1" applyFill="1" applyAlignment="1">
      <alignment horizontal="center"/>
    </xf>
    <xf numFmtId="3" fontId="107" fillId="60" borderId="66" xfId="0" applyNumberFormat="1" applyFont="1" applyFill="1" applyBorder="1" applyAlignment="1">
      <alignment horizontal="center"/>
    </xf>
    <xf numFmtId="0" fontId="101" fillId="64" borderId="0" xfId="0" applyFont="1" applyFill="1" applyAlignment="1">
      <alignment horizontal="center"/>
    </xf>
    <xf numFmtId="1" fontId="111" fillId="58" borderId="0" xfId="0" applyNumberFormat="1" applyFont="1" applyFill="1" applyAlignment="1">
      <alignment horizontal="center"/>
    </xf>
    <xf numFmtId="0" fontId="0" fillId="64" borderId="0" xfId="0" applyFill="1"/>
    <xf numFmtId="3" fontId="107" fillId="66" borderId="66" xfId="0" applyNumberFormat="1" applyFont="1" applyFill="1" applyBorder="1" applyAlignment="1">
      <alignment horizontal="center"/>
    </xf>
    <xf numFmtId="0" fontId="23" fillId="0" borderId="38" xfId="0" applyFont="1" applyBorder="1"/>
    <xf numFmtId="185" fontId="111" fillId="68" borderId="66" xfId="0" applyNumberFormat="1" applyFont="1" applyFill="1" applyBorder="1" applyAlignment="1">
      <alignment horizontal="right"/>
    </xf>
    <xf numFmtId="185" fontId="111" fillId="69" borderId="66" xfId="0" applyNumberFormat="1" applyFont="1" applyFill="1" applyBorder="1" applyAlignment="1">
      <alignment horizontal="right"/>
    </xf>
    <xf numFmtId="185" fontId="111" fillId="63" borderId="66" xfId="0" applyNumberFormat="1" applyFont="1" applyFill="1" applyBorder="1" applyAlignment="1">
      <alignment horizontal="right"/>
    </xf>
    <xf numFmtId="185" fontId="111" fillId="59" borderId="66" xfId="0" applyNumberFormat="1" applyFont="1" applyFill="1" applyBorder="1" applyAlignment="1">
      <alignment horizontal="right"/>
    </xf>
    <xf numFmtId="185" fontId="111" fillId="70" borderId="66" xfId="0" applyNumberFormat="1" applyFont="1" applyFill="1" applyBorder="1" applyAlignment="1">
      <alignment horizontal="right"/>
    </xf>
    <xf numFmtId="185" fontId="111" fillId="65" borderId="66" xfId="0" applyNumberFormat="1" applyFont="1" applyFill="1" applyBorder="1" applyAlignment="1">
      <alignment horizontal="right"/>
    </xf>
    <xf numFmtId="185" fontId="107" fillId="66" borderId="66" xfId="0" applyNumberFormat="1" applyFont="1" applyFill="1" applyBorder="1" applyAlignment="1">
      <alignment horizontal="right" vertical="center"/>
    </xf>
    <xf numFmtId="185" fontId="105" fillId="61" borderId="66" xfId="0" applyNumberFormat="1" applyFont="1" applyFill="1" applyBorder="1" applyAlignment="1">
      <alignment horizontal="right"/>
    </xf>
    <xf numFmtId="185" fontId="105" fillId="59" borderId="66" xfId="0" applyNumberFormat="1" applyFont="1" applyFill="1" applyBorder="1" applyAlignment="1">
      <alignment horizontal="right"/>
    </xf>
    <xf numFmtId="185" fontId="105" fillId="63" borderId="66" xfId="0" applyNumberFormat="1" applyFont="1" applyFill="1" applyBorder="1" applyAlignment="1">
      <alignment horizontal="right"/>
    </xf>
    <xf numFmtId="185" fontId="105" fillId="64" borderId="66" xfId="0" applyNumberFormat="1" applyFont="1" applyFill="1" applyBorder="1" applyAlignment="1">
      <alignment horizontal="right"/>
    </xf>
    <xf numFmtId="185" fontId="105" fillId="65" borderId="66" xfId="0" applyNumberFormat="1" applyFont="1" applyFill="1" applyBorder="1" applyAlignment="1">
      <alignment horizontal="right"/>
    </xf>
    <xf numFmtId="185" fontId="107" fillId="60" borderId="66" xfId="0" applyNumberFormat="1" applyFont="1" applyFill="1" applyBorder="1" applyAlignment="1">
      <alignment horizontal="right" vertical="center"/>
    </xf>
    <xf numFmtId="3" fontId="23" fillId="0" borderId="0" xfId="0" applyNumberFormat="1" applyFont="1" applyAlignment="1">
      <alignment horizontal="center"/>
    </xf>
    <xf numFmtId="9" fontId="23" fillId="0" borderId="0" xfId="818" applyFont="1" applyAlignment="1">
      <alignment horizontal="center"/>
    </xf>
    <xf numFmtId="165" fontId="0" fillId="0" borderId="0" xfId="818" applyNumberFormat="1" applyFont="1" applyAlignment="1">
      <alignment horizontal="center"/>
    </xf>
    <xf numFmtId="9" fontId="0" fillId="0" borderId="0" xfId="818" applyFont="1" applyAlignment="1">
      <alignment horizontal="center"/>
    </xf>
    <xf numFmtId="165" fontId="88" fillId="0" borderId="0" xfId="818" applyNumberFormat="1" applyFont="1" applyAlignment="1">
      <alignment horizontal="center"/>
    </xf>
    <xf numFmtId="9" fontId="88" fillId="0" borderId="0" xfId="818" applyFont="1" applyAlignment="1">
      <alignment horizontal="center"/>
    </xf>
    <xf numFmtId="165" fontId="23" fillId="0" borderId="0" xfId="818" applyNumberFormat="1" applyFont="1" applyAlignment="1">
      <alignment horizontal="center"/>
    </xf>
    <xf numFmtId="0" fontId="23" fillId="0" borderId="0" xfId="0" applyFont="1"/>
    <xf numFmtId="0" fontId="120" fillId="14" borderId="67" xfId="706" applyFont="1" applyFill="1" applyBorder="1" applyAlignment="1">
      <alignment horizontal="center" vertical="center"/>
    </xf>
    <xf numFmtId="0" fontId="120" fillId="14" borderId="68" xfId="706" applyFont="1" applyFill="1" applyBorder="1" applyAlignment="1">
      <alignment horizontal="center" vertical="center" wrapText="1"/>
    </xf>
    <xf numFmtId="0" fontId="120" fillId="14" borderId="69" xfId="706" applyFont="1" applyFill="1" applyBorder="1" applyAlignment="1">
      <alignment horizontal="center" vertical="center" wrapText="1"/>
    </xf>
    <xf numFmtId="0" fontId="47" fillId="0" borderId="0" xfId="706" applyFont="1" applyAlignment="1">
      <alignment horizontal="center" vertical="center"/>
    </xf>
    <xf numFmtId="0" fontId="47" fillId="0" borderId="0" xfId="706" applyFont="1" applyAlignment="1">
      <alignment horizontal="left" vertical="center"/>
    </xf>
    <xf numFmtId="0" fontId="47" fillId="72" borderId="70" xfId="706" applyFont="1" applyFill="1" applyBorder="1" applyAlignment="1">
      <alignment horizontal="center" vertical="center"/>
    </xf>
    <xf numFmtId="0" fontId="47" fillId="72" borderId="71" xfId="706" applyFont="1" applyFill="1" applyBorder="1" applyAlignment="1">
      <alignment horizontal="left" vertical="center"/>
    </xf>
    <xf numFmtId="3" fontId="47" fillId="72" borderId="71" xfId="706" applyNumberFormat="1" applyFont="1" applyFill="1" applyBorder="1" applyAlignment="1">
      <alignment horizontal="left" vertical="center"/>
    </xf>
    <xf numFmtId="165" fontId="47" fillId="73" borderId="71" xfId="818" applyNumberFormat="1" applyFont="1" applyFill="1" applyBorder="1" applyAlignment="1" applyProtection="1">
      <alignment horizontal="center" vertical="center"/>
    </xf>
    <xf numFmtId="3" fontId="121" fillId="72" borderId="72" xfId="706" applyNumberFormat="1" applyFont="1" applyFill="1" applyBorder="1" applyAlignment="1">
      <alignment vertical="center"/>
    </xf>
    <xf numFmtId="0" fontId="47" fillId="72" borderId="73" xfId="706" applyFont="1" applyFill="1" applyBorder="1" applyAlignment="1">
      <alignment horizontal="center" vertical="center"/>
    </xf>
    <xf numFmtId="0" fontId="47" fillId="72" borderId="0" xfId="706" applyFont="1" applyFill="1" applyAlignment="1">
      <alignment horizontal="left" vertical="center"/>
    </xf>
    <xf numFmtId="3" fontId="47" fillId="72" borderId="0" xfId="706" applyNumberFormat="1" applyFont="1" applyFill="1" applyAlignment="1">
      <alignment horizontal="left" vertical="center"/>
    </xf>
    <xf numFmtId="165" fontId="47" fillId="72" borderId="0" xfId="818" quotePrefix="1" applyNumberFormat="1" applyFont="1" applyFill="1" applyBorder="1" applyAlignment="1" applyProtection="1">
      <alignment horizontal="center" vertical="center" wrapText="1"/>
    </xf>
    <xf numFmtId="3" fontId="121" fillId="72" borderId="61" xfId="706" applyNumberFormat="1" applyFont="1" applyFill="1" applyBorder="1" applyAlignment="1">
      <alignment vertical="center"/>
    </xf>
    <xf numFmtId="165" fontId="47" fillId="73" borderId="0" xfId="818" applyNumberFormat="1" applyFont="1" applyFill="1" applyBorder="1" applyAlignment="1" applyProtection="1">
      <alignment horizontal="center" vertical="center"/>
    </xf>
    <xf numFmtId="0" fontId="47" fillId="72" borderId="74" xfId="706" applyFont="1" applyFill="1" applyBorder="1" applyAlignment="1">
      <alignment horizontal="center" vertical="center"/>
    </xf>
    <xf numFmtId="0" fontId="47" fillId="72" borderId="65" xfId="706" applyFont="1" applyFill="1" applyBorder="1" applyAlignment="1">
      <alignment horizontal="left" vertical="center"/>
    </xf>
    <xf numFmtId="3" fontId="47" fillId="72" borderId="65" xfId="706" applyNumberFormat="1" applyFont="1" applyFill="1" applyBorder="1" applyAlignment="1">
      <alignment horizontal="left" vertical="center"/>
    </xf>
    <xf numFmtId="165" fontId="47" fillId="72" borderId="65" xfId="818" quotePrefix="1" applyNumberFormat="1" applyFont="1" applyFill="1" applyBorder="1" applyAlignment="1" applyProtection="1">
      <alignment horizontal="center" vertical="center" wrapText="1"/>
    </xf>
    <xf numFmtId="3" fontId="121" fillId="72" borderId="21" xfId="706" applyNumberFormat="1" applyFont="1" applyFill="1" applyBorder="1" applyAlignment="1">
      <alignment vertical="center"/>
    </xf>
    <xf numFmtId="0" fontId="47" fillId="72" borderId="71" xfId="706" applyFont="1" applyFill="1" applyBorder="1" applyAlignment="1">
      <alignment vertical="center"/>
    </xf>
    <xf numFmtId="9" fontId="122" fillId="72" borderId="71" xfId="818" applyFont="1" applyFill="1" applyBorder="1" applyAlignment="1" applyProtection="1">
      <alignment horizontal="left" vertical="center"/>
    </xf>
    <xf numFmtId="165" fontId="89" fillId="73" borderId="71" xfId="818" applyNumberFormat="1" applyFont="1" applyFill="1" applyBorder="1" applyAlignment="1" applyProtection="1">
      <alignment horizontal="center" vertical="center"/>
    </xf>
    <xf numFmtId="9" fontId="123" fillId="72" borderId="72" xfId="818" applyFont="1" applyFill="1" applyBorder="1" applyAlignment="1" applyProtection="1">
      <alignment horizontal="left" vertical="center" wrapText="1"/>
    </xf>
    <xf numFmtId="0" fontId="47" fillId="72" borderId="0" xfId="706" applyFont="1" applyFill="1" applyAlignment="1">
      <alignment vertical="center"/>
    </xf>
    <xf numFmtId="9" fontId="122" fillId="72" borderId="0" xfId="818" applyFont="1" applyFill="1" applyBorder="1" applyAlignment="1" applyProtection="1">
      <alignment horizontal="left" vertical="center"/>
    </xf>
    <xf numFmtId="165" fontId="89" fillId="73" borderId="0" xfId="818" applyNumberFormat="1" applyFont="1" applyFill="1" applyBorder="1" applyAlignment="1" applyProtection="1">
      <alignment horizontal="center" vertical="center"/>
    </xf>
    <xf numFmtId="9" fontId="123" fillId="72" borderId="61" xfId="818" applyFont="1" applyFill="1" applyBorder="1" applyAlignment="1" applyProtection="1">
      <alignment horizontal="left" vertical="center" wrapText="1"/>
    </xf>
    <xf numFmtId="165" fontId="47" fillId="72" borderId="71" xfId="818" quotePrefix="1" applyNumberFormat="1" applyFont="1" applyFill="1" applyBorder="1" applyAlignment="1" applyProtection="1">
      <alignment horizontal="center" vertical="center" wrapText="1"/>
    </xf>
    <xf numFmtId="9" fontId="121" fillId="72" borderId="72" xfId="818" applyFont="1" applyFill="1" applyBorder="1" applyAlignment="1" applyProtection="1">
      <alignment horizontal="left" vertical="center" wrapText="1"/>
    </xf>
    <xf numFmtId="9" fontId="121" fillId="72" borderId="61" xfId="818" applyFont="1" applyFill="1" applyBorder="1" applyAlignment="1" applyProtection="1">
      <alignment horizontal="left" vertical="center" wrapText="1"/>
    </xf>
    <xf numFmtId="0" fontId="47" fillId="72" borderId="65" xfId="706" applyFont="1" applyFill="1" applyBorder="1" applyAlignment="1">
      <alignment vertical="center"/>
    </xf>
    <xf numFmtId="9" fontId="122" fillId="72" borderId="65" xfId="818" applyFont="1" applyFill="1" applyBorder="1" applyAlignment="1" applyProtection="1">
      <alignment horizontal="left" vertical="center"/>
    </xf>
    <xf numFmtId="165" fontId="47" fillId="73" borderId="65" xfId="818" applyNumberFormat="1" applyFont="1" applyFill="1" applyBorder="1" applyAlignment="1" applyProtection="1">
      <alignment horizontal="center" vertical="center"/>
    </xf>
    <xf numFmtId="9" fontId="121" fillId="72" borderId="21" xfId="818" applyFont="1" applyFill="1" applyBorder="1" applyAlignment="1" applyProtection="1">
      <alignment horizontal="left" vertical="center" wrapText="1"/>
    </xf>
    <xf numFmtId="165" fontId="89" fillId="72" borderId="65" xfId="818" quotePrefix="1" applyNumberFormat="1" applyFont="1" applyFill="1" applyBorder="1" applyAlignment="1" applyProtection="1">
      <alignment horizontal="center" vertical="center" wrapText="1"/>
    </xf>
    <xf numFmtId="9" fontId="123" fillId="72" borderId="21" xfId="818" applyFont="1" applyFill="1" applyBorder="1" applyAlignment="1" applyProtection="1">
      <alignment horizontal="left" vertical="center" wrapText="1"/>
    </xf>
    <xf numFmtId="165" fontId="89" fillId="73" borderId="65" xfId="818" applyNumberFormat="1" applyFont="1" applyFill="1" applyBorder="1" applyAlignment="1" applyProtection="1">
      <alignment horizontal="center" vertical="center"/>
    </xf>
    <xf numFmtId="3" fontId="122" fillId="72" borderId="0" xfId="706" applyNumberFormat="1" applyFont="1" applyFill="1" applyAlignment="1">
      <alignment horizontal="left" vertical="center"/>
    </xf>
    <xf numFmtId="169" fontId="89" fillId="73" borderId="0" xfId="706" applyNumberFormat="1" applyFill="1" applyAlignment="1">
      <alignment horizontal="center" vertical="center"/>
    </xf>
    <xf numFmtId="164" fontId="89" fillId="72" borderId="0" xfId="818" applyNumberFormat="1" applyFont="1" applyFill="1" applyBorder="1" applyAlignment="1" applyProtection="1">
      <alignment horizontal="center" vertical="center"/>
    </xf>
    <xf numFmtId="165" fontId="47" fillId="72" borderId="71" xfId="818" applyNumberFormat="1" applyFont="1" applyFill="1" applyBorder="1" applyAlignment="1" applyProtection="1">
      <alignment horizontal="left" vertical="center"/>
    </xf>
    <xf numFmtId="3" fontId="89" fillId="73" borderId="71" xfId="706" applyNumberFormat="1" applyFill="1" applyBorder="1" applyAlignment="1">
      <alignment horizontal="center" vertical="center"/>
    </xf>
    <xf numFmtId="165" fontId="47" fillId="72" borderId="0" xfId="818" applyNumberFormat="1" applyFont="1" applyFill="1" applyBorder="1" applyAlignment="1" applyProtection="1">
      <alignment horizontal="left" vertical="center"/>
    </xf>
    <xf numFmtId="3" fontId="89" fillId="73" borderId="0" xfId="706" applyNumberFormat="1" applyFill="1" applyAlignment="1">
      <alignment horizontal="center" vertical="center"/>
    </xf>
    <xf numFmtId="165" fontId="47" fillId="72" borderId="65" xfId="818" applyNumberFormat="1" applyFont="1" applyFill="1" applyBorder="1" applyAlignment="1" applyProtection="1">
      <alignment horizontal="left" vertical="center"/>
    </xf>
    <xf numFmtId="0" fontId="47" fillId="72" borderId="67" xfId="706" applyFont="1" applyFill="1" applyBorder="1" applyAlignment="1">
      <alignment horizontal="center" vertical="center"/>
    </xf>
    <xf numFmtId="0" fontId="47" fillId="72" borderId="68" xfId="706" applyFont="1" applyFill="1" applyBorder="1" applyAlignment="1">
      <alignment horizontal="left" vertical="center"/>
    </xf>
    <xf numFmtId="3" fontId="47" fillId="72" borderId="68" xfId="706" applyNumberFormat="1" applyFont="1" applyFill="1" applyBorder="1" applyAlignment="1">
      <alignment horizontal="left" vertical="center"/>
    </xf>
    <xf numFmtId="9" fontId="47" fillId="73" borderId="68" xfId="818" applyFont="1" applyFill="1" applyBorder="1" applyAlignment="1">
      <alignment horizontal="center" vertical="center"/>
    </xf>
    <xf numFmtId="9" fontId="124" fillId="72" borderId="69" xfId="818" applyFont="1" applyFill="1" applyBorder="1" applyAlignment="1" applyProtection="1">
      <alignment vertical="center"/>
    </xf>
    <xf numFmtId="9" fontId="47" fillId="73" borderId="0" xfId="818" applyFont="1" applyFill="1" applyBorder="1" applyAlignment="1">
      <alignment horizontal="center" vertical="center"/>
    </xf>
    <xf numFmtId="9" fontId="124" fillId="72" borderId="61" xfId="818" applyFont="1" applyFill="1" applyBorder="1" applyAlignment="1" applyProtection="1">
      <alignment vertical="center"/>
    </xf>
    <xf numFmtId="9" fontId="47" fillId="73" borderId="71" xfId="818" applyFont="1" applyFill="1" applyBorder="1" applyAlignment="1" applyProtection="1">
      <alignment horizontal="center" vertical="center"/>
    </xf>
    <xf numFmtId="9" fontId="121" fillId="72" borderId="72" xfId="818" applyFont="1" applyFill="1" applyBorder="1" applyAlignment="1" applyProtection="1">
      <alignment vertical="center"/>
    </xf>
    <xf numFmtId="9" fontId="47" fillId="72" borderId="65" xfId="818" quotePrefix="1" applyFont="1" applyFill="1" applyBorder="1" applyAlignment="1" applyProtection="1">
      <alignment horizontal="center" vertical="center" wrapText="1"/>
    </xf>
    <xf numFmtId="9" fontId="121" fillId="72" borderId="21" xfId="818" applyFont="1" applyFill="1" applyBorder="1" applyAlignment="1" applyProtection="1">
      <alignment vertical="center"/>
    </xf>
    <xf numFmtId="0" fontId="47" fillId="14" borderId="0" xfId="706" applyFont="1" applyFill="1" applyAlignment="1">
      <alignment horizontal="center" vertical="center"/>
    </xf>
    <xf numFmtId="0" fontId="47" fillId="14" borderId="0" xfId="706" applyFont="1" applyFill="1" applyAlignment="1">
      <alignment horizontal="left" vertical="center"/>
    </xf>
    <xf numFmtId="9" fontId="47" fillId="14" borderId="0" xfId="818" applyFont="1" applyFill="1" applyBorder="1" applyAlignment="1" applyProtection="1">
      <alignment horizontal="left" vertical="center"/>
    </xf>
    <xf numFmtId="10" fontId="47" fillId="14" borderId="0" xfId="818" applyNumberFormat="1" applyFont="1" applyFill="1" applyBorder="1" applyAlignment="1" applyProtection="1">
      <alignment horizontal="center" vertical="center"/>
    </xf>
    <xf numFmtId="3" fontId="121" fillId="14" borderId="0" xfId="706" quotePrefix="1" applyNumberFormat="1" applyFont="1" applyFill="1" applyAlignment="1">
      <alignment vertical="center"/>
    </xf>
    <xf numFmtId="165" fontId="47" fillId="72" borderId="65" xfId="818" applyNumberFormat="1" applyFont="1" applyFill="1" applyBorder="1" applyAlignment="1" applyProtection="1">
      <alignment horizontal="center" vertical="center"/>
    </xf>
    <xf numFmtId="3" fontId="122" fillId="72" borderId="71" xfId="706" applyNumberFormat="1" applyFont="1" applyFill="1" applyBorder="1" applyAlignment="1">
      <alignment horizontal="left" vertical="center"/>
    </xf>
    <xf numFmtId="169" fontId="47" fillId="73" borderId="71" xfId="706" applyNumberFormat="1" applyFont="1" applyFill="1" applyBorder="1" applyAlignment="1">
      <alignment horizontal="center" vertical="center"/>
    </xf>
    <xf numFmtId="0" fontId="47" fillId="72" borderId="0" xfId="706" quotePrefix="1" applyFont="1" applyFill="1" applyAlignment="1">
      <alignment horizontal="left" vertical="center"/>
    </xf>
    <xf numFmtId="169" fontId="47" fillId="73" borderId="0" xfId="706" applyNumberFormat="1" applyFont="1" applyFill="1" applyAlignment="1">
      <alignment horizontal="center" vertical="center"/>
    </xf>
    <xf numFmtId="0" fontId="121" fillId="72" borderId="61" xfId="706" quotePrefix="1" applyFont="1" applyFill="1" applyBorder="1" applyAlignment="1">
      <alignment vertical="center"/>
    </xf>
    <xf numFmtId="3" fontId="122" fillId="72" borderId="65" xfId="706" applyNumberFormat="1" applyFont="1" applyFill="1" applyBorder="1" applyAlignment="1">
      <alignment horizontal="left" vertical="center"/>
    </xf>
    <xf numFmtId="169" fontId="47" fillId="73" borderId="65" xfId="706" applyNumberFormat="1" applyFont="1" applyFill="1" applyBorder="1" applyAlignment="1">
      <alignment horizontal="center" vertical="center"/>
    </xf>
    <xf numFmtId="9" fontId="121" fillId="72" borderId="21" xfId="818" quotePrefix="1" applyFont="1" applyFill="1" applyBorder="1" applyAlignment="1" applyProtection="1">
      <alignment horizontal="left" vertical="center" wrapText="1"/>
    </xf>
    <xf numFmtId="164" fontId="47" fillId="72" borderId="71" xfId="706" quotePrefix="1" applyNumberFormat="1" applyFont="1" applyFill="1" applyBorder="1" applyAlignment="1">
      <alignment horizontal="center" vertical="center" wrapText="1"/>
    </xf>
    <xf numFmtId="164" fontId="47" fillId="72" borderId="0" xfId="706" quotePrefix="1" applyNumberFormat="1" applyFont="1" applyFill="1" applyAlignment="1">
      <alignment horizontal="center" vertical="center" wrapText="1"/>
    </xf>
    <xf numFmtId="169" fontId="47" fillId="73" borderId="0" xfId="706" applyNumberFormat="1" applyFont="1" applyFill="1" applyAlignment="1" applyProtection="1">
      <alignment horizontal="center" vertical="center"/>
      <protection locked="0"/>
    </xf>
    <xf numFmtId="10" fontId="47" fillId="73" borderId="71" xfId="818" applyNumberFormat="1" applyFont="1" applyFill="1" applyBorder="1" applyAlignment="1" applyProtection="1">
      <alignment horizontal="center" vertical="center"/>
    </xf>
    <xf numFmtId="0" fontId="47" fillId="72" borderId="75" xfId="706" applyFont="1" applyFill="1" applyBorder="1" applyAlignment="1">
      <alignment horizontal="center" vertical="center"/>
    </xf>
    <xf numFmtId="0" fontId="47" fillId="72" borderId="76" xfId="706" applyFont="1" applyFill="1" applyBorder="1" applyAlignment="1">
      <alignment horizontal="left" vertical="center" indent="1"/>
    </xf>
    <xf numFmtId="3" fontId="122" fillId="72" borderId="76" xfId="706" applyNumberFormat="1" applyFont="1" applyFill="1" applyBorder="1" applyAlignment="1">
      <alignment horizontal="left" vertical="center"/>
    </xf>
    <xf numFmtId="165" fontId="47" fillId="72" borderId="76" xfId="818" quotePrefix="1" applyNumberFormat="1" applyFont="1" applyFill="1" applyBorder="1" applyAlignment="1" applyProtection="1">
      <alignment horizontal="center" vertical="center" wrapText="1"/>
    </xf>
    <xf numFmtId="9" fontId="121" fillId="72" borderId="77" xfId="818" applyFont="1" applyFill="1" applyBorder="1" applyAlignment="1" applyProtection="1">
      <alignment horizontal="left" vertical="center" wrapText="1"/>
    </xf>
    <xf numFmtId="165" fontId="47" fillId="0" borderId="0" xfId="818" applyNumberFormat="1" applyFont="1" applyAlignment="1">
      <alignment horizontal="center" vertical="center"/>
    </xf>
    <xf numFmtId="0" fontId="47" fillId="72" borderId="0" xfId="706" applyFont="1" applyFill="1" applyAlignment="1">
      <alignment horizontal="left" vertical="center" indent="1"/>
    </xf>
    <xf numFmtId="165" fontId="47" fillId="73" borderId="76" xfId="818" applyNumberFormat="1" applyFont="1" applyFill="1" applyBorder="1" applyAlignment="1" applyProtection="1">
      <alignment horizontal="center" vertical="center"/>
    </xf>
    <xf numFmtId="0" fontId="47" fillId="72" borderId="78" xfId="706" applyFont="1" applyFill="1" applyBorder="1" applyAlignment="1">
      <alignment horizontal="center" vertical="center"/>
    </xf>
    <xf numFmtId="0" fontId="47" fillId="72" borderId="79" xfId="706" applyFont="1" applyFill="1" applyBorder="1" applyAlignment="1">
      <alignment horizontal="left" vertical="center" indent="1"/>
    </xf>
    <xf numFmtId="3" fontId="122" fillId="72" borderId="79" xfId="706" applyNumberFormat="1" applyFont="1" applyFill="1" applyBorder="1" applyAlignment="1">
      <alignment horizontal="left" vertical="center"/>
    </xf>
    <xf numFmtId="165" fontId="47" fillId="73" borderId="79" xfId="818" applyNumberFormat="1" applyFont="1" applyFill="1" applyBorder="1" applyAlignment="1" applyProtection="1">
      <alignment horizontal="center" vertical="center"/>
    </xf>
    <xf numFmtId="9" fontId="121" fillId="72" borderId="80" xfId="818" applyFont="1" applyFill="1" applyBorder="1" applyAlignment="1" applyProtection="1">
      <alignment horizontal="left" vertical="center" wrapText="1"/>
    </xf>
    <xf numFmtId="0" fontId="47" fillId="72" borderId="71" xfId="706" applyFont="1" applyFill="1" applyBorder="1" applyAlignment="1">
      <alignment horizontal="left" vertical="center" indent="1"/>
    </xf>
    <xf numFmtId="0" fontId="47" fillId="72" borderId="65" xfId="706" applyFont="1" applyFill="1" applyBorder="1" applyAlignment="1">
      <alignment horizontal="left" vertical="center" indent="1"/>
    </xf>
    <xf numFmtId="9" fontId="122" fillId="72" borderId="76" xfId="818" applyFont="1" applyFill="1" applyBorder="1" applyAlignment="1" applyProtection="1">
      <alignment horizontal="left" vertical="center"/>
    </xf>
    <xf numFmtId="9" fontId="122" fillId="72" borderId="79" xfId="818" applyFont="1" applyFill="1" applyBorder="1" applyAlignment="1" applyProtection="1">
      <alignment horizontal="left" vertical="center"/>
    </xf>
    <xf numFmtId="165" fontId="47" fillId="72" borderId="79" xfId="818" quotePrefix="1" applyNumberFormat="1" applyFont="1" applyFill="1" applyBorder="1" applyAlignment="1" applyProtection="1">
      <alignment horizontal="center" vertical="center" wrapText="1"/>
    </xf>
    <xf numFmtId="165" fontId="89" fillId="73" borderId="76" xfId="818" applyNumberFormat="1" applyFont="1" applyFill="1" applyBorder="1" applyAlignment="1" applyProtection="1">
      <alignment horizontal="center" vertical="center"/>
    </xf>
    <xf numFmtId="9" fontId="123" fillId="72" borderId="77" xfId="818" applyFont="1" applyFill="1" applyBorder="1" applyAlignment="1" applyProtection="1">
      <alignment horizontal="left" vertical="center" wrapText="1"/>
    </xf>
    <xf numFmtId="165" fontId="89" fillId="72" borderId="79" xfId="818" quotePrefix="1" applyNumberFormat="1" applyFont="1" applyFill="1" applyBorder="1" applyAlignment="1" applyProtection="1">
      <alignment horizontal="center" vertical="center" wrapText="1"/>
    </xf>
    <xf numFmtId="9" fontId="123" fillId="72" borderId="80" xfId="818" applyFont="1" applyFill="1" applyBorder="1" applyAlignment="1" applyProtection="1">
      <alignment horizontal="left" vertical="center" wrapText="1"/>
    </xf>
    <xf numFmtId="165" fontId="89" fillId="72" borderId="65" xfId="818" quotePrefix="1" applyNumberFormat="1" applyFont="1" applyFill="1" applyBorder="1" applyAlignment="1">
      <alignment horizontal="center" vertical="center" wrapText="1"/>
    </xf>
    <xf numFmtId="165" fontId="89" fillId="72" borderId="71" xfId="818" quotePrefix="1" applyNumberFormat="1" applyFont="1" applyFill="1" applyBorder="1" applyAlignment="1">
      <alignment horizontal="center" vertical="center" wrapText="1"/>
    </xf>
    <xf numFmtId="0" fontId="47" fillId="72" borderId="0" xfId="706" applyFont="1" applyFill="1" applyAlignment="1">
      <alignment horizontal="left" vertical="center" indent="2"/>
    </xf>
    <xf numFmtId="165" fontId="89" fillId="72" borderId="0" xfId="818" quotePrefix="1" applyNumberFormat="1" applyFont="1" applyFill="1" applyBorder="1" applyAlignment="1">
      <alignment horizontal="center" vertical="center" wrapText="1"/>
    </xf>
    <xf numFmtId="165" fontId="89" fillId="72" borderId="0" xfId="818" quotePrefix="1" applyNumberFormat="1" applyFont="1" applyFill="1" applyBorder="1" applyAlignment="1" applyProtection="1">
      <alignment horizontal="center" vertical="center" wrapText="1"/>
    </xf>
    <xf numFmtId="0" fontId="122" fillId="72" borderId="71" xfId="706" quotePrefix="1" applyFont="1" applyFill="1" applyBorder="1" applyAlignment="1">
      <alignment horizontal="left" vertical="center"/>
    </xf>
    <xf numFmtId="165" fontId="47" fillId="73" borderId="71" xfId="706" quotePrefix="1" applyNumberFormat="1" applyFont="1" applyFill="1" applyBorder="1" applyAlignment="1" applyProtection="1">
      <alignment horizontal="center" vertical="center"/>
      <protection locked="0"/>
    </xf>
    <xf numFmtId="0" fontId="121" fillId="72" borderId="72" xfId="706" quotePrefix="1" applyFont="1" applyFill="1" applyBorder="1" applyAlignment="1">
      <alignment vertical="center"/>
    </xf>
    <xf numFmtId="0" fontId="122" fillId="72" borderId="65" xfId="706" quotePrefix="1" applyFont="1" applyFill="1" applyBorder="1" applyAlignment="1">
      <alignment horizontal="left" vertical="center"/>
    </xf>
    <xf numFmtId="0" fontId="121" fillId="72" borderId="21" xfId="706" quotePrefix="1" applyFont="1" applyFill="1" applyBorder="1" applyAlignment="1">
      <alignment vertical="center"/>
    </xf>
    <xf numFmtId="0" fontId="47" fillId="72" borderId="71" xfId="706" quotePrefix="1" applyFont="1" applyFill="1" applyBorder="1" applyAlignment="1">
      <alignment horizontal="left" vertical="center"/>
    </xf>
    <xf numFmtId="0" fontId="47" fillId="73" borderId="71" xfId="706" quotePrefix="1" applyFont="1" applyFill="1" applyBorder="1" applyAlignment="1">
      <alignment horizontal="center" vertical="center"/>
    </xf>
    <xf numFmtId="165" fontId="47" fillId="73" borderId="71" xfId="706" quotePrefix="1" applyNumberFormat="1" applyFont="1" applyFill="1" applyBorder="1" applyAlignment="1">
      <alignment horizontal="center" vertical="center" wrapText="1"/>
    </xf>
    <xf numFmtId="0" fontId="122" fillId="72" borderId="0" xfId="706" quotePrefix="1" applyFont="1" applyFill="1" applyAlignment="1">
      <alignment horizontal="left" vertical="center"/>
    </xf>
    <xf numFmtId="0" fontId="122" fillId="72" borderId="68" xfId="706" quotePrefix="1" applyFont="1" applyFill="1" applyBorder="1" applyAlignment="1">
      <alignment horizontal="left" vertical="center"/>
    </xf>
    <xf numFmtId="165" fontId="47" fillId="73" borderId="0" xfId="706" quotePrefix="1" applyNumberFormat="1" applyFont="1" applyFill="1" applyAlignment="1">
      <alignment horizontal="center" vertical="center" wrapText="1"/>
    </xf>
    <xf numFmtId="1" fontId="47" fillId="73" borderId="0" xfId="818" applyNumberFormat="1" applyFont="1" applyFill="1" applyBorder="1" applyAlignment="1" applyProtection="1">
      <alignment horizontal="center" vertical="center"/>
      <protection locked="0"/>
    </xf>
    <xf numFmtId="3" fontId="47" fillId="72" borderId="61" xfId="706" quotePrefix="1" applyNumberFormat="1" applyFont="1" applyFill="1" applyBorder="1" applyAlignment="1">
      <alignment vertical="center"/>
    </xf>
    <xf numFmtId="3" fontId="121" fillId="72" borderId="61" xfId="706" quotePrefix="1" applyNumberFormat="1" applyFont="1" applyFill="1" applyBorder="1" applyAlignment="1">
      <alignment vertical="center"/>
    </xf>
    <xf numFmtId="1" fontId="47" fillId="73" borderId="65" xfId="818" applyNumberFormat="1" applyFont="1" applyFill="1" applyBorder="1" applyAlignment="1" applyProtection="1">
      <alignment horizontal="center" vertical="center"/>
      <protection locked="0"/>
    </xf>
    <xf numFmtId="3" fontId="121" fillId="72" borderId="21" xfId="706" quotePrefix="1" applyNumberFormat="1" applyFont="1" applyFill="1" applyBorder="1" applyAlignment="1">
      <alignment vertical="center"/>
    </xf>
    <xf numFmtId="0" fontId="47" fillId="14" borderId="0" xfId="706" quotePrefix="1" applyFont="1" applyFill="1" applyAlignment="1">
      <alignment horizontal="left" vertical="center" wrapText="1"/>
    </xf>
    <xf numFmtId="0" fontId="47" fillId="14" borderId="0" xfId="706" quotePrefix="1" applyFont="1" applyFill="1" applyAlignment="1">
      <alignment horizontal="center" vertical="center" wrapText="1"/>
    </xf>
    <xf numFmtId="0" fontId="47" fillId="14" borderId="0" xfId="706" quotePrefix="1" applyFont="1" applyFill="1" applyAlignment="1">
      <alignment vertical="center" wrapText="1"/>
    </xf>
    <xf numFmtId="0" fontId="47" fillId="72" borderId="60" xfId="706" applyFont="1" applyFill="1" applyBorder="1" applyAlignment="1">
      <alignment horizontal="center" vertical="center"/>
    </xf>
    <xf numFmtId="165" fontId="47" fillId="72" borderId="68" xfId="706" quotePrefix="1" applyNumberFormat="1" applyFont="1" applyFill="1" applyBorder="1" applyAlignment="1">
      <alignment horizontal="left" vertical="center" wrapText="1"/>
    </xf>
    <xf numFmtId="10" fontId="89" fillId="73" borderId="68" xfId="818" quotePrefix="1" applyNumberFormat="1" applyFont="1" applyFill="1" applyBorder="1" applyAlignment="1" applyProtection="1">
      <alignment horizontal="center" vertical="center" wrapText="1"/>
    </xf>
    <xf numFmtId="0" fontId="123" fillId="72" borderId="69" xfId="706" quotePrefix="1" applyFont="1" applyFill="1" applyBorder="1" applyAlignment="1">
      <alignment vertical="center" wrapText="1"/>
    </xf>
    <xf numFmtId="0" fontId="0" fillId="0" borderId="0" xfId="0" applyAlignment="1">
      <alignment vertical="center"/>
    </xf>
    <xf numFmtId="0" fontId="125" fillId="0" borderId="0" xfId="819" applyBorder="1" applyAlignment="1" applyProtection="1">
      <alignment horizontal="right" vertical="center"/>
    </xf>
    <xf numFmtId="0" fontId="126" fillId="0" borderId="0" xfId="0" applyFont="1" applyAlignment="1">
      <alignment vertical="center"/>
    </xf>
    <xf numFmtId="0" fontId="127" fillId="0" borderId="0" xfId="508" applyFont="1" applyAlignment="1">
      <alignment horizontal="left" vertical="center" indent="1"/>
    </xf>
    <xf numFmtId="0" fontId="22" fillId="74" borderId="67" xfId="0" applyFont="1" applyFill="1" applyBorder="1" applyAlignment="1">
      <alignment horizontal="centerContinuous" vertical="center"/>
    </xf>
    <xf numFmtId="0" fontId="22" fillId="74" borderId="68" xfId="0" applyFont="1" applyFill="1" applyBorder="1" applyAlignment="1">
      <alignment horizontal="centerContinuous" vertical="center"/>
    </xf>
    <xf numFmtId="0" fontId="22" fillId="74" borderId="69" xfId="0" applyFont="1" applyFill="1" applyBorder="1" applyAlignment="1">
      <alignment horizontal="centerContinuous" vertical="center"/>
    </xf>
    <xf numFmtId="0" fontId="128" fillId="75" borderId="0" xfId="0" applyFont="1" applyFill="1" applyAlignment="1">
      <alignment vertical="center"/>
    </xf>
    <xf numFmtId="0" fontId="22" fillId="74" borderId="70" xfId="0" applyFont="1" applyFill="1" applyBorder="1" applyAlignment="1">
      <alignment horizontal="centerContinuous" vertical="center"/>
    </xf>
    <xf numFmtId="0" fontId="88" fillId="0" borderId="71" xfId="0" applyFont="1" applyBorder="1" applyAlignment="1">
      <alignment horizontal="left" vertical="center" indent="1"/>
    </xf>
    <xf numFmtId="0" fontId="88" fillId="0" borderId="72" xfId="0" applyFont="1" applyBorder="1" applyAlignment="1">
      <alignment horizontal="left" vertical="center" indent="1"/>
    </xf>
    <xf numFmtId="186" fontId="129" fillId="76" borderId="71" xfId="816" applyNumberFormat="1" applyFont="1" applyFill="1" applyBorder="1" applyAlignment="1" applyProtection="1">
      <alignment horizontal="center" vertical="center"/>
    </xf>
    <xf numFmtId="186" fontId="129" fillId="76" borderId="72" xfId="816" applyNumberFormat="1" applyFont="1" applyFill="1" applyBorder="1" applyAlignment="1" applyProtection="1">
      <alignment horizontal="center" vertical="center"/>
    </xf>
    <xf numFmtId="186" fontId="129" fillId="76" borderId="81" xfId="816" applyNumberFormat="1" applyFont="1" applyFill="1" applyBorder="1" applyAlignment="1" applyProtection="1">
      <alignment horizontal="center" vertical="center" wrapText="1"/>
    </xf>
    <xf numFmtId="0" fontId="129" fillId="72" borderId="0" xfId="0" applyFont="1" applyFill="1" applyAlignment="1">
      <alignment vertical="center"/>
    </xf>
    <xf numFmtId="0" fontId="22" fillId="74" borderId="73" xfId="0" applyFont="1" applyFill="1" applyBorder="1" applyAlignment="1">
      <alignment horizontal="centerContinuous" vertical="center"/>
    </xf>
    <xf numFmtId="0" fontId="88" fillId="0" borderId="0" xfId="0" applyFont="1" applyAlignment="1">
      <alignment horizontal="left" vertical="center" indent="1"/>
    </xf>
    <xf numFmtId="0" fontId="88" fillId="0" borderId="61" xfId="0" applyFont="1" applyBorder="1" applyAlignment="1">
      <alignment horizontal="left" vertical="center" indent="1"/>
    </xf>
    <xf numFmtId="43" fontId="129" fillId="76" borderId="73" xfId="816" applyFont="1" applyFill="1" applyBorder="1" applyAlignment="1" applyProtection="1">
      <alignment vertical="center"/>
    </xf>
    <xf numFmtId="43" fontId="129" fillId="76" borderId="0" xfId="816" applyFont="1" applyFill="1" applyBorder="1" applyAlignment="1" applyProtection="1">
      <alignment vertical="center"/>
    </xf>
    <xf numFmtId="43" fontId="129" fillId="76" borderId="61" xfId="816" applyFont="1" applyFill="1" applyBorder="1" applyAlignment="1" applyProtection="1">
      <alignment vertical="center"/>
    </xf>
    <xf numFmtId="43" fontId="129" fillId="76" borderId="38" xfId="816" applyFont="1" applyFill="1" applyBorder="1" applyAlignment="1" applyProtection="1">
      <alignment vertical="center" wrapText="1"/>
    </xf>
    <xf numFmtId="0" fontId="130" fillId="73" borderId="0" xfId="0" applyFont="1" applyFill="1" applyAlignment="1">
      <alignment vertical="center"/>
    </xf>
    <xf numFmtId="0" fontId="88" fillId="0" borderId="65" xfId="0" applyFont="1" applyBorder="1" applyAlignment="1">
      <alignment horizontal="left" vertical="center" indent="1"/>
    </xf>
    <xf numFmtId="43" fontId="129" fillId="76" borderId="0" xfId="816" applyFont="1" applyFill="1" applyBorder="1" applyAlignment="1" applyProtection="1">
      <alignment horizontal="center" vertical="center"/>
    </xf>
    <xf numFmtId="43" fontId="129" fillId="76" borderId="65" xfId="816" applyFont="1" applyFill="1" applyBorder="1" applyAlignment="1" applyProtection="1">
      <alignment horizontal="center" vertical="center"/>
    </xf>
    <xf numFmtId="43" fontId="129" fillId="76" borderId="21" xfId="816" applyFont="1" applyFill="1" applyBorder="1" applyAlignment="1" applyProtection="1">
      <alignment horizontal="center" vertical="center"/>
    </xf>
    <xf numFmtId="43" fontId="129" fillId="76" borderId="22" xfId="816" applyFont="1" applyFill="1" applyBorder="1" applyAlignment="1" applyProtection="1">
      <alignment horizontal="center" vertical="center" wrapText="1"/>
    </xf>
    <xf numFmtId="186" fontId="0" fillId="0" borderId="0" xfId="816" applyNumberFormat="1" applyFont="1" applyBorder="1" applyAlignment="1" applyProtection="1">
      <alignment vertical="center"/>
    </xf>
    <xf numFmtId="165" fontId="128" fillId="75" borderId="82" xfId="818" applyNumberFormat="1" applyFont="1" applyFill="1" applyBorder="1" applyAlignment="1" applyProtection="1">
      <alignment vertical="center"/>
      <protection locked="0"/>
    </xf>
    <xf numFmtId="165" fontId="128" fillId="75" borderId="83" xfId="818" applyNumberFormat="1" applyFont="1" applyFill="1" applyBorder="1" applyAlignment="1" applyProtection="1">
      <alignment vertical="center"/>
      <protection locked="0"/>
    </xf>
    <xf numFmtId="165" fontId="128" fillId="75" borderId="84" xfId="818" applyNumberFormat="1" applyFont="1" applyFill="1" applyBorder="1" applyAlignment="1" applyProtection="1">
      <alignment vertical="center"/>
      <protection locked="0"/>
    </xf>
    <xf numFmtId="165" fontId="128" fillId="75" borderId="85" xfId="818" applyNumberFormat="1" applyFont="1" applyFill="1" applyBorder="1" applyAlignment="1" applyProtection="1">
      <alignment vertical="center" wrapText="1"/>
      <protection locked="0"/>
    </xf>
    <xf numFmtId="44" fontId="35" fillId="0" borderId="0" xfId="817" applyFont="1" applyFill="1" applyBorder="1" applyAlignment="1" applyProtection="1">
      <alignment horizontal="left" vertical="center" wrapText="1"/>
    </xf>
    <xf numFmtId="165" fontId="131" fillId="76" borderId="86" xfId="818" applyNumberFormat="1" applyFont="1" applyFill="1" applyBorder="1" applyAlignment="1" applyProtection="1">
      <alignment vertical="center"/>
    </xf>
    <xf numFmtId="165" fontId="131" fillId="76" borderId="87" xfId="818" applyNumberFormat="1" applyFont="1" applyFill="1" applyBorder="1" applyAlignment="1" applyProtection="1">
      <alignment vertical="center"/>
    </xf>
    <xf numFmtId="165" fontId="131" fillId="76" borderId="88" xfId="818" applyNumberFormat="1" applyFont="1" applyFill="1" applyBorder="1" applyAlignment="1" applyProtection="1">
      <alignment vertical="center"/>
    </xf>
    <xf numFmtId="165" fontId="128" fillId="75" borderId="89" xfId="818" applyNumberFormat="1" applyFont="1" applyFill="1" applyBorder="1" applyAlignment="1" applyProtection="1">
      <alignment vertical="center" wrapText="1"/>
      <protection locked="0"/>
    </xf>
    <xf numFmtId="44" fontId="35" fillId="0" borderId="0" xfId="817" applyFont="1" applyFill="1" applyBorder="1" applyAlignment="1" applyProtection="1">
      <alignment horizontal="left" vertical="center"/>
    </xf>
    <xf numFmtId="44" fontId="0" fillId="0" borderId="0" xfId="817" applyFont="1" applyFill="1" applyBorder="1" applyAlignment="1" applyProtection="1">
      <alignment vertical="center"/>
    </xf>
    <xf numFmtId="165" fontId="131" fillId="76" borderId="90" xfId="818" applyNumberFormat="1" applyFont="1" applyFill="1" applyBorder="1" applyAlignment="1" applyProtection="1">
      <alignment vertical="center"/>
    </xf>
    <xf numFmtId="165" fontId="131" fillId="76" borderId="91" xfId="818" applyNumberFormat="1" applyFont="1" applyFill="1" applyBorder="1" applyAlignment="1" applyProtection="1">
      <alignment vertical="center"/>
    </xf>
    <xf numFmtId="165" fontId="128" fillId="76" borderId="38" xfId="818" applyNumberFormat="1" applyFont="1" applyFill="1" applyBorder="1" applyAlignment="1" applyProtection="1">
      <alignment vertical="center" wrapText="1"/>
    </xf>
    <xf numFmtId="0" fontId="22" fillId="74" borderId="74" xfId="0" applyFont="1" applyFill="1" applyBorder="1" applyAlignment="1">
      <alignment horizontal="centerContinuous" vertical="center"/>
    </xf>
    <xf numFmtId="0" fontId="88" fillId="0" borderId="21" xfId="0" applyFont="1" applyBorder="1" applyAlignment="1">
      <alignment horizontal="left" vertical="center" indent="1"/>
    </xf>
    <xf numFmtId="0" fontId="22" fillId="74" borderId="81" xfId="0" applyFont="1" applyFill="1" applyBorder="1" applyAlignment="1">
      <alignment horizontal="centerContinuous" vertical="center"/>
    </xf>
    <xf numFmtId="0" fontId="88" fillId="0" borderId="70" xfId="0" applyFont="1" applyBorder="1" applyAlignment="1">
      <alignment horizontal="left" vertical="center" indent="1"/>
    </xf>
    <xf numFmtId="0" fontId="132" fillId="0" borderId="0" xfId="706" applyFont="1" applyAlignment="1">
      <alignment horizontal="left" vertical="center"/>
    </xf>
    <xf numFmtId="0" fontId="22" fillId="74" borderId="38" xfId="0" applyFont="1" applyFill="1" applyBorder="1" applyAlignment="1">
      <alignment horizontal="centerContinuous" vertical="center"/>
    </xf>
    <xf numFmtId="0" fontId="88" fillId="0" borderId="73" xfId="0" applyFont="1" applyBorder="1" applyAlignment="1">
      <alignment horizontal="left" vertical="center" indent="1"/>
    </xf>
    <xf numFmtId="43" fontId="132" fillId="0" borderId="0" xfId="816" applyFont="1" applyFill="1" applyBorder="1" applyAlignment="1">
      <alignment horizontal="center" vertical="center"/>
    </xf>
    <xf numFmtId="0" fontId="88" fillId="0" borderId="71" xfId="0" applyFont="1" applyBorder="1" applyAlignment="1">
      <alignment horizontal="left" vertical="center" indent="2"/>
    </xf>
    <xf numFmtId="186" fontId="128" fillId="75" borderId="82" xfId="816" applyNumberFormat="1" applyFont="1" applyFill="1" applyBorder="1" applyAlignment="1" applyProtection="1">
      <alignment vertical="center"/>
      <protection locked="0"/>
    </xf>
    <xf numFmtId="186" fontId="128" fillId="75" borderId="83" xfId="816" applyNumberFormat="1" applyFont="1" applyFill="1" applyBorder="1" applyAlignment="1" applyProtection="1">
      <alignment vertical="center"/>
      <protection locked="0"/>
    </xf>
    <xf numFmtId="186" fontId="128" fillId="75" borderId="84" xfId="816" applyNumberFormat="1" applyFont="1" applyFill="1" applyBorder="1" applyAlignment="1" applyProtection="1">
      <alignment vertical="center"/>
      <protection locked="0"/>
    </xf>
    <xf numFmtId="186" fontId="128" fillId="75" borderId="85" xfId="816" applyNumberFormat="1" applyFont="1" applyFill="1" applyBorder="1" applyAlignment="1" applyProtection="1">
      <alignment vertical="center" wrapText="1"/>
      <protection locked="0"/>
    </xf>
    <xf numFmtId="0" fontId="88" fillId="0" borderId="0" xfId="0" applyFont="1" applyAlignment="1">
      <alignment horizontal="left" vertical="center" indent="2"/>
    </xf>
    <xf numFmtId="186" fontId="128" fillId="75" borderId="92" xfId="816" applyNumberFormat="1" applyFont="1" applyFill="1" applyBorder="1" applyAlignment="1" applyProtection="1">
      <alignment vertical="center"/>
      <protection locked="0"/>
    </xf>
    <xf numFmtId="186" fontId="128" fillId="75" borderId="93" xfId="816" applyNumberFormat="1" applyFont="1" applyFill="1" applyBorder="1" applyAlignment="1" applyProtection="1">
      <alignment vertical="center"/>
      <protection locked="0"/>
    </xf>
    <xf numFmtId="186" fontId="128" fillId="75" borderId="94" xfId="816" applyNumberFormat="1" applyFont="1" applyFill="1" applyBorder="1" applyAlignment="1" applyProtection="1">
      <alignment vertical="center"/>
      <protection locked="0"/>
    </xf>
    <xf numFmtId="186" fontId="128" fillId="75" borderId="95" xfId="816" applyNumberFormat="1" applyFont="1" applyFill="1" applyBorder="1" applyAlignment="1" applyProtection="1">
      <alignment vertical="center" wrapText="1"/>
      <protection locked="0"/>
    </xf>
    <xf numFmtId="0" fontId="116" fillId="0" borderId="0" xfId="0" applyFont="1"/>
    <xf numFmtId="0" fontId="88" fillId="0" borderId="96" xfId="0" applyFont="1" applyBorder="1" applyAlignment="1">
      <alignment horizontal="left" vertical="center" indent="2"/>
    </xf>
    <xf numFmtId="0" fontId="88" fillId="0" borderId="96" xfId="0" applyFont="1" applyBorder="1" applyAlignment="1">
      <alignment horizontal="left" vertical="center" indent="1"/>
    </xf>
    <xf numFmtId="186" fontId="128" fillId="75" borderId="97" xfId="816" applyNumberFormat="1" applyFont="1" applyFill="1" applyBorder="1" applyAlignment="1" applyProtection="1">
      <alignment vertical="center"/>
      <protection locked="0"/>
    </xf>
    <xf numFmtId="186" fontId="128" fillId="75" borderId="98" xfId="816" applyNumberFormat="1" applyFont="1" applyFill="1" applyBorder="1" applyAlignment="1" applyProtection="1">
      <alignment vertical="center"/>
      <protection locked="0"/>
    </xf>
    <xf numFmtId="186" fontId="128" fillId="75" borderId="99" xfId="816" applyNumberFormat="1" applyFont="1" applyFill="1" applyBorder="1" applyAlignment="1" applyProtection="1">
      <alignment vertical="center"/>
      <protection locked="0"/>
    </xf>
    <xf numFmtId="186" fontId="128" fillId="75" borderId="100" xfId="816" applyNumberFormat="1" applyFont="1" applyFill="1" applyBorder="1" applyAlignment="1" applyProtection="1">
      <alignment vertical="center" wrapText="1"/>
      <protection locked="0"/>
    </xf>
    <xf numFmtId="0" fontId="88" fillId="0" borderId="101" xfId="0" applyFont="1" applyBorder="1" applyAlignment="1">
      <alignment horizontal="left" vertical="center" indent="1"/>
    </xf>
    <xf numFmtId="186" fontId="131" fillId="76" borderId="102" xfId="816" applyNumberFormat="1" applyFont="1" applyFill="1" applyBorder="1" applyAlignment="1" applyProtection="1">
      <alignment vertical="center"/>
    </xf>
    <xf numFmtId="186" fontId="131" fillId="76" borderId="101" xfId="816" applyNumberFormat="1" applyFont="1" applyFill="1" applyBorder="1" applyAlignment="1" applyProtection="1">
      <alignment vertical="center"/>
    </xf>
    <xf numFmtId="186" fontId="131" fillId="76" borderId="103" xfId="816" applyNumberFormat="1" applyFont="1" applyFill="1" applyBorder="1" applyAlignment="1" applyProtection="1">
      <alignment vertical="center"/>
    </xf>
    <xf numFmtId="186" fontId="128" fillId="75" borderId="73" xfId="816" applyNumberFormat="1" applyFont="1" applyFill="1" applyBorder="1" applyAlignment="1" applyProtection="1">
      <alignment vertical="center"/>
      <protection locked="0"/>
    </xf>
    <xf numFmtId="186" fontId="128" fillId="75" borderId="0" xfId="816" applyNumberFormat="1" applyFont="1" applyFill="1" applyBorder="1" applyAlignment="1" applyProtection="1">
      <alignment vertical="center"/>
      <protection locked="0"/>
    </xf>
    <xf numFmtId="186" fontId="128" fillId="75" borderId="61" xfId="816" applyNumberFormat="1" applyFont="1" applyFill="1" applyBorder="1" applyAlignment="1" applyProtection="1">
      <alignment vertical="center"/>
      <protection locked="0"/>
    </xf>
    <xf numFmtId="186" fontId="128" fillId="75" borderId="104" xfId="816" applyNumberFormat="1" applyFont="1" applyFill="1" applyBorder="1" applyAlignment="1" applyProtection="1">
      <alignment vertical="center"/>
      <protection locked="0"/>
    </xf>
    <xf numFmtId="186" fontId="128" fillId="75" borderId="105" xfId="816" applyNumberFormat="1" applyFont="1" applyFill="1" applyBorder="1" applyAlignment="1" applyProtection="1">
      <alignment vertical="center"/>
      <protection locked="0"/>
    </xf>
    <xf numFmtId="186" fontId="128" fillId="75" borderId="106" xfId="816" applyNumberFormat="1" applyFont="1" applyFill="1" applyBorder="1" applyAlignment="1" applyProtection="1">
      <alignment vertical="center"/>
      <protection locked="0"/>
    </xf>
    <xf numFmtId="186" fontId="128" fillId="75" borderId="86" xfId="816" applyNumberFormat="1" applyFont="1" applyFill="1" applyBorder="1" applyAlignment="1" applyProtection="1">
      <alignment vertical="center"/>
      <protection locked="0"/>
    </xf>
    <xf numFmtId="186" fontId="128" fillId="75" borderId="87" xfId="816" applyNumberFormat="1" applyFont="1" applyFill="1" applyBorder="1" applyAlignment="1" applyProtection="1">
      <alignment vertical="center"/>
      <protection locked="0"/>
    </xf>
    <xf numFmtId="186" fontId="128" fillId="75" borderId="88" xfId="816" applyNumberFormat="1" applyFont="1" applyFill="1" applyBorder="1" applyAlignment="1" applyProtection="1">
      <alignment vertical="center"/>
      <protection locked="0"/>
    </xf>
    <xf numFmtId="186" fontId="128" fillId="75" borderId="89" xfId="816" applyNumberFormat="1" applyFont="1" applyFill="1" applyBorder="1" applyAlignment="1" applyProtection="1">
      <alignment vertical="center" wrapText="1"/>
      <protection locked="0"/>
    </xf>
    <xf numFmtId="186" fontId="128" fillId="75" borderId="38" xfId="816" applyNumberFormat="1" applyFont="1" applyFill="1" applyBorder="1" applyAlignment="1" applyProtection="1">
      <alignment vertical="center" wrapText="1"/>
      <protection locked="0"/>
    </xf>
    <xf numFmtId="186" fontId="128" fillId="75" borderId="70" xfId="816" applyNumberFormat="1" applyFont="1" applyFill="1" applyBorder="1" applyAlignment="1" applyProtection="1">
      <alignment vertical="center"/>
      <protection locked="0"/>
    </xf>
    <xf numFmtId="186" fontId="128" fillId="75" borderId="71" xfId="816" applyNumberFormat="1" applyFont="1" applyFill="1" applyBorder="1" applyAlignment="1" applyProtection="1">
      <alignment vertical="center"/>
      <protection locked="0"/>
    </xf>
    <xf numFmtId="186" fontId="128" fillId="75" borderId="72" xfId="816" applyNumberFormat="1" applyFont="1" applyFill="1" applyBorder="1" applyAlignment="1" applyProtection="1">
      <alignment vertical="center"/>
      <protection locked="0"/>
    </xf>
    <xf numFmtId="186" fontId="128" fillId="75" borderId="81" xfId="816" applyNumberFormat="1" applyFont="1" applyFill="1" applyBorder="1" applyAlignment="1" applyProtection="1">
      <alignment vertical="center" wrapText="1"/>
      <protection locked="0"/>
    </xf>
    <xf numFmtId="0" fontId="88" fillId="0" borderId="67" xfId="0" applyFont="1" applyBorder="1" applyAlignment="1">
      <alignment horizontal="left" vertical="center" indent="1"/>
    </xf>
    <xf numFmtId="0" fontId="88" fillId="0" borderId="68" xfId="0" applyFont="1" applyBorder="1" applyAlignment="1">
      <alignment horizontal="left" vertical="center" indent="1"/>
    </xf>
    <xf numFmtId="186" fontId="128" fillId="75" borderId="67" xfId="816" applyNumberFormat="1" applyFont="1" applyFill="1" applyBorder="1" applyAlignment="1" applyProtection="1">
      <alignment vertical="center"/>
      <protection locked="0"/>
    </xf>
    <xf numFmtId="186" fontId="128" fillId="75" borderId="68" xfId="816" applyNumberFormat="1" applyFont="1" applyFill="1" applyBorder="1" applyAlignment="1" applyProtection="1">
      <alignment vertical="center"/>
      <protection locked="0"/>
    </xf>
    <xf numFmtId="186" fontId="128" fillId="75" borderId="69" xfId="816" applyNumberFormat="1" applyFont="1" applyFill="1" applyBorder="1" applyAlignment="1" applyProtection="1">
      <alignment vertical="center"/>
      <protection locked="0"/>
    </xf>
    <xf numFmtId="186" fontId="128" fillId="75" borderId="60" xfId="816" applyNumberFormat="1" applyFont="1" applyFill="1" applyBorder="1" applyAlignment="1" applyProtection="1">
      <alignment vertical="center" wrapText="1"/>
      <protection locked="0"/>
    </xf>
    <xf numFmtId="0" fontId="134" fillId="0" borderId="0" xfId="0" applyFont="1"/>
    <xf numFmtId="186" fontId="128" fillId="75" borderId="107" xfId="816" applyNumberFormat="1" applyFont="1" applyFill="1" applyBorder="1" applyAlignment="1" applyProtection="1">
      <alignment vertical="center" wrapText="1"/>
      <protection locked="0"/>
    </xf>
    <xf numFmtId="43" fontId="0" fillId="0" borderId="0" xfId="0" applyNumberFormat="1"/>
    <xf numFmtId="186" fontId="131" fillId="76" borderId="73" xfId="816" applyNumberFormat="1" applyFont="1" applyFill="1" applyBorder="1" applyAlignment="1" applyProtection="1">
      <alignment vertical="center"/>
    </xf>
    <xf numFmtId="186" fontId="131" fillId="76" borderId="0" xfId="816" applyNumberFormat="1" applyFont="1" applyFill="1" applyBorder="1" applyAlignment="1" applyProtection="1">
      <alignment vertical="center"/>
    </xf>
    <xf numFmtId="186" fontId="131" fillId="76" borderId="61" xfId="816" applyNumberFormat="1" applyFont="1" applyFill="1" applyBorder="1" applyAlignment="1" applyProtection="1">
      <alignment vertical="center"/>
    </xf>
    <xf numFmtId="186" fontId="131" fillId="76" borderId="104" xfId="816" applyNumberFormat="1" applyFont="1" applyFill="1" applyBorder="1" applyAlignment="1" applyProtection="1">
      <alignment vertical="center"/>
    </xf>
    <xf numFmtId="186" fontId="131" fillId="76" borderId="105" xfId="816" applyNumberFormat="1" applyFont="1" applyFill="1" applyBorder="1" applyAlignment="1" applyProtection="1">
      <alignment vertical="center"/>
    </xf>
    <xf numFmtId="186" fontId="131" fillId="76" borderId="106" xfId="816" applyNumberFormat="1" applyFont="1" applyFill="1" applyBorder="1" applyAlignment="1" applyProtection="1">
      <alignment vertical="center"/>
    </xf>
    <xf numFmtId="0" fontId="88" fillId="0" borderId="76" xfId="0" applyFont="1" applyBorder="1" applyAlignment="1">
      <alignment horizontal="left" vertical="center" indent="1"/>
    </xf>
    <xf numFmtId="0" fontId="88" fillId="0" borderId="77" xfId="0" applyFont="1" applyBorder="1" applyAlignment="1">
      <alignment horizontal="left" vertical="center" indent="1"/>
    </xf>
    <xf numFmtId="186" fontId="128" fillId="75" borderId="75" xfId="816" applyNumberFormat="1" applyFont="1" applyFill="1" applyBorder="1" applyAlignment="1" applyProtection="1">
      <alignment vertical="center"/>
      <protection locked="0"/>
    </xf>
    <xf numFmtId="186" fontId="128" fillId="75" borderId="76" xfId="816" applyNumberFormat="1" applyFont="1" applyFill="1" applyBorder="1" applyAlignment="1" applyProtection="1">
      <alignment vertical="center"/>
      <protection locked="0"/>
    </xf>
    <xf numFmtId="186" fontId="128" fillId="75" borderId="77" xfId="816" applyNumberFormat="1" applyFont="1" applyFill="1" applyBorder="1" applyAlignment="1" applyProtection="1">
      <alignment vertical="center"/>
      <protection locked="0"/>
    </xf>
    <xf numFmtId="186" fontId="128" fillId="75" borderId="108" xfId="816" applyNumberFormat="1" applyFont="1" applyFill="1" applyBorder="1" applyAlignment="1" applyProtection="1">
      <alignment vertical="center" wrapText="1"/>
      <protection locked="0"/>
    </xf>
    <xf numFmtId="0" fontId="88" fillId="0" borderId="79" xfId="0" applyFont="1" applyBorder="1" applyAlignment="1">
      <alignment horizontal="left" vertical="center" indent="1"/>
    </xf>
    <xf numFmtId="0" fontId="88" fillId="0" borderId="80" xfId="0" applyFont="1" applyBorder="1" applyAlignment="1">
      <alignment horizontal="left" vertical="center" indent="1"/>
    </xf>
    <xf numFmtId="186" fontId="128" fillId="75" borderId="109" xfId="816" applyNumberFormat="1" applyFont="1" applyFill="1" applyBorder="1" applyAlignment="1" applyProtection="1">
      <alignment vertical="center"/>
      <protection locked="0"/>
    </xf>
    <xf numFmtId="186" fontId="128" fillId="75" borderId="110" xfId="816" applyNumberFormat="1" applyFont="1" applyFill="1" applyBorder="1" applyAlignment="1" applyProtection="1">
      <alignment vertical="center"/>
      <protection locked="0"/>
    </xf>
    <xf numFmtId="186" fontId="128" fillId="75" borderId="111" xfId="816" applyNumberFormat="1" applyFont="1" applyFill="1" applyBorder="1" applyAlignment="1" applyProtection="1">
      <alignment vertical="center"/>
      <protection locked="0"/>
    </xf>
    <xf numFmtId="186" fontId="128" fillId="75" borderId="112" xfId="816" applyNumberFormat="1" applyFont="1" applyFill="1" applyBorder="1" applyAlignment="1" applyProtection="1">
      <alignment vertical="center" wrapText="1"/>
      <protection locked="0"/>
    </xf>
    <xf numFmtId="0" fontId="88" fillId="0" borderId="113" xfId="0" applyFont="1" applyBorder="1" applyAlignment="1">
      <alignment horizontal="left" vertical="center" indent="1"/>
    </xf>
    <xf numFmtId="9" fontId="131" fillId="76" borderId="114" xfId="818" applyFont="1" applyFill="1" applyBorder="1" applyAlignment="1" applyProtection="1">
      <alignment vertical="center"/>
    </xf>
    <xf numFmtId="9" fontId="131" fillId="76" borderId="113" xfId="818" applyFont="1" applyFill="1" applyBorder="1" applyAlignment="1" applyProtection="1">
      <alignment vertical="center"/>
    </xf>
    <xf numFmtId="9" fontId="131" fillId="76" borderId="115" xfId="818" applyFont="1" applyFill="1" applyBorder="1" applyAlignment="1" applyProtection="1">
      <alignment vertical="center"/>
    </xf>
    <xf numFmtId="186" fontId="128" fillId="75" borderId="116" xfId="816" applyNumberFormat="1" applyFont="1" applyFill="1" applyBorder="1" applyAlignment="1" applyProtection="1">
      <alignment vertical="center" wrapText="1"/>
      <protection locked="0"/>
    </xf>
    <xf numFmtId="0" fontId="88" fillId="0" borderId="117" xfId="0" applyFont="1" applyBorder="1" applyAlignment="1">
      <alignment horizontal="left" vertical="center" indent="1"/>
    </xf>
    <xf numFmtId="9" fontId="131" fillId="76" borderId="118" xfId="818" applyFont="1" applyFill="1" applyBorder="1" applyAlignment="1" applyProtection="1">
      <alignment vertical="center"/>
    </xf>
    <xf numFmtId="9" fontId="131" fillId="76" borderId="117" xfId="818" applyFont="1" applyFill="1" applyBorder="1" applyAlignment="1" applyProtection="1">
      <alignment vertical="center"/>
    </xf>
    <xf numFmtId="9" fontId="131" fillId="76" borderId="119" xfId="818" applyFont="1" applyFill="1" applyBorder="1" applyAlignment="1" applyProtection="1">
      <alignment vertical="center"/>
    </xf>
    <xf numFmtId="0" fontId="88" fillId="0" borderId="120" xfId="0" applyFont="1" applyBorder="1" applyAlignment="1">
      <alignment horizontal="left" vertical="center" indent="1"/>
    </xf>
    <xf numFmtId="0" fontId="88" fillId="0" borderId="121" xfId="0" applyFont="1" applyBorder="1" applyAlignment="1">
      <alignment horizontal="left" vertical="center" indent="1"/>
    </xf>
    <xf numFmtId="186" fontId="128" fillId="75" borderId="122" xfId="816" applyNumberFormat="1" applyFont="1" applyFill="1" applyBorder="1" applyAlignment="1" applyProtection="1">
      <alignment vertical="center"/>
      <protection locked="0"/>
    </xf>
    <xf numFmtId="186" fontId="128" fillId="75" borderId="120" xfId="816" applyNumberFormat="1" applyFont="1" applyFill="1" applyBorder="1" applyAlignment="1" applyProtection="1">
      <alignment vertical="center"/>
      <protection locked="0"/>
    </xf>
    <xf numFmtId="186" fontId="128" fillId="75" borderId="121" xfId="816" applyNumberFormat="1" applyFont="1" applyFill="1" applyBorder="1" applyAlignment="1" applyProtection="1">
      <alignment vertical="center"/>
      <protection locked="0"/>
    </xf>
    <xf numFmtId="186" fontId="128" fillId="75" borderId="123" xfId="816" applyNumberFormat="1" applyFont="1" applyFill="1" applyBorder="1" applyAlignment="1" applyProtection="1">
      <alignment vertical="center" wrapText="1"/>
      <protection locked="0"/>
    </xf>
    <xf numFmtId="0" fontId="88" fillId="0" borderId="124" xfId="0" applyFont="1" applyBorder="1" applyAlignment="1">
      <alignment horizontal="left" vertical="center" indent="1"/>
    </xf>
    <xf numFmtId="186" fontId="131" fillId="76" borderId="125" xfId="816" applyNumberFormat="1" applyFont="1" applyFill="1" applyBorder="1" applyAlignment="1" applyProtection="1">
      <alignment vertical="center"/>
    </xf>
    <xf numFmtId="186" fontId="131" fillId="76" borderId="124" xfId="816" applyNumberFormat="1" applyFont="1" applyFill="1" applyBorder="1" applyAlignment="1" applyProtection="1">
      <alignment vertical="center"/>
    </xf>
    <xf numFmtId="186" fontId="131" fillId="76" borderId="126" xfId="816" applyNumberFormat="1" applyFont="1" applyFill="1" applyBorder="1" applyAlignment="1" applyProtection="1">
      <alignment vertical="center"/>
    </xf>
    <xf numFmtId="186" fontId="128" fillId="75" borderId="127" xfId="816" applyNumberFormat="1" applyFont="1" applyFill="1" applyBorder="1" applyAlignment="1" applyProtection="1">
      <alignment vertical="center" wrapText="1"/>
      <protection locked="0"/>
    </xf>
    <xf numFmtId="186" fontId="128" fillId="75" borderId="74" xfId="816" applyNumberFormat="1" applyFont="1" applyFill="1" applyBorder="1" applyAlignment="1" applyProtection="1">
      <alignment vertical="center"/>
      <protection locked="0"/>
    </xf>
    <xf numFmtId="186" fontId="128" fillId="75" borderId="65" xfId="816" applyNumberFormat="1" applyFont="1" applyFill="1" applyBorder="1" applyAlignment="1" applyProtection="1">
      <alignment vertical="center"/>
      <protection locked="0"/>
    </xf>
    <xf numFmtId="186" fontId="128" fillId="75" borderId="21" xfId="816" applyNumberFormat="1" applyFont="1" applyFill="1" applyBorder="1" applyAlignment="1" applyProtection="1">
      <alignment vertical="center"/>
      <protection locked="0"/>
    </xf>
    <xf numFmtId="186" fontId="128" fillId="75" borderId="22" xfId="816" applyNumberFormat="1" applyFont="1" applyFill="1" applyBorder="1" applyAlignment="1" applyProtection="1">
      <alignment vertical="center" wrapText="1"/>
      <protection locked="0"/>
    </xf>
    <xf numFmtId="0" fontId="135" fillId="0" borderId="74" xfId="0" applyFont="1" applyBorder="1" applyAlignment="1">
      <alignment horizontal="left" vertical="center" indent="1"/>
    </xf>
    <xf numFmtId="0" fontId="135" fillId="0" borderId="21" xfId="0" applyFont="1" applyBorder="1" applyAlignment="1">
      <alignment horizontal="left" vertical="center" indent="1"/>
    </xf>
    <xf numFmtId="0" fontId="135" fillId="0" borderId="73" xfId="0" applyFont="1" applyBorder="1" applyAlignment="1">
      <alignment horizontal="left" vertical="center" indent="1"/>
    </xf>
    <xf numFmtId="0" fontId="135" fillId="0" borderId="61" xfId="0" applyFont="1" applyBorder="1" applyAlignment="1">
      <alignment horizontal="left" vertical="center" indent="1"/>
    </xf>
    <xf numFmtId="186" fontId="131" fillId="76" borderId="114" xfId="816" applyNumberFormat="1" applyFont="1" applyFill="1" applyBorder="1" applyAlignment="1" applyProtection="1">
      <alignment vertical="center"/>
    </xf>
    <xf numFmtId="186" fontId="131" fillId="76" borderId="113" xfId="816" applyNumberFormat="1" applyFont="1" applyFill="1" applyBorder="1" applyAlignment="1" applyProtection="1">
      <alignment vertical="center"/>
    </xf>
    <xf numFmtId="186" fontId="131" fillId="76" borderId="115" xfId="816" applyNumberFormat="1" applyFont="1" applyFill="1" applyBorder="1" applyAlignment="1" applyProtection="1">
      <alignment vertical="center"/>
    </xf>
    <xf numFmtId="0" fontId="22" fillId="74" borderId="74" xfId="0" applyFont="1" applyFill="1" applyBorder="1" applyAlignment="1">
      <alignment horizontal="center" vertical="center"/>
    </xf>
    <xf numFmtId="0" fontId="88" fillId="0" borderId="74" xfId="0" applyFont="1" applyBorder="1" applyAlignment="1">
      <alignment horizontal="left" vertical="center" indent="1"/>
    </xf>
    <xf numFmtId="0" fontId="134" fillId="0" borderId="0" xfId="0" applyFont="1" applyAlignment="1">
      <alignment vertical="center"/>
    </xf>
    <xf numFmtId="0" fontId="0" fillId="0" borderId="0" xfId="0" applyAlignment="1">
      <alignment horizontal="center"/>
    </xf>
    <xf numFmtId="0" fontId="2" fillId="2" borderId="0" xfId="0" applyFont="1" applyFill="1" applyAlignment="1">
      <alignment horizontal="center" vertical="center"/>
    </xf>
    <xf numFmtId="0" fontId="0" fillId="0" borderId="0" xfId="0"/>
    <xf numFmtId="0" fontId="3" fillId="0" borderId="0" xfId="0" applyFont="1" applyAlignment="1">
      <alignment horizontal="center"/>
    </xf>
    <xf numFmtId="0" fontId="11" fillId="8" borderId="0" xfId="0" applyFont="1" applyFill="1" applyAlignment="1">
      <alignment horizontal="left" vertical="center" indent="1"/>
    </xf>
    <xf numFmtId="0" fontId="109" fillId="71" borderId="0" xfId="0" applyFont="1" applyFill="1"/>
    <xf numFmtId="0" fontId="106" fillId="67" borderId="0" xfId="0" applyFont="1" applyFill="1" applyAlignment="1">
      <alignment horizontal="right" vertical="center" indent="1"/>
    </xf>
    <xf numFmtId="0" fontId="90" fillId="57" borderId="0" xfId="0" applyFont="1" applyFill="1" applyAlignment="1">
      <alignment horizontal="center" vertical="center"/>
    </xf>
    <xf numFmtId="0" fontId="96" fillId="59" borderId="0" xfId="0" applyFont="1" applyFill="1" applyAlignment="1">
      <alignment horizontal="left" vertical="center" indent="1"/>
    </xf>
    <xf numFmtId="0" fontId="110" fillId="64" borderId="0" xfId="0" applyFont="1" applyFill="1" applyAlignment="1">
      <alignment horizontal="left" vertical="center" indent="1"/>
    </xf>
    <xf numFmtId="0" fontId="106" fillId="66" borderId="0" xfId="0" applyFont="1" applyFill="1" applyAlignment="1">
      <alignment horizontal="right" vertical="center" indent="1"/>
    </xf>
    <xf numFmtId="0" fontId="97" fillId="66" borderId="0" xfId="0" applyFont="1" applyFill="1" applyAlignment="1">
      <alignment horizontal="left" vertical="center" indent="1"/>
    </xf>
    <xf numFmtId="0" fontId="97" fillId="57" borderId="0" xfId="0" applyFont="1" applyFill="1" applyAlignment="1">
      <alignment horizontal="left" vertical="center" indent="1"/>
    </xf>
    <xf numFmtId="0" fontId="119" fillId="0" borderId="0" xfId="0" applyFont="1" applyAlignment="1">
      <alignment horizontal="left" vertical="center" indent="1"/>
    </xf>
    <xf numFmtId="0" fontId="118" fillId="0" borderId="0" xfId="0" applyFont="1"/>
    <xf numFmtId="0" fontId="112" fillId="64" borderId="0" xfId="0" applyFont="1" applyFill="1"/>
    <xf numFmtId="0" fontId="106" fillId="57" borderId="0" xfId="0" applyFont="1" applyFill="1" applyAlignment="1">
      <alignment horizontal="right" vertical="center" indent="1"/>
    </xf>
    <xf numFmtId="0" fontId="106" fillId="60" borderId="0" xfId="0" applyFont="1" applyFill="1" applyAlignment="1">
      <alignment horizontal="right" vertical="center" indent="1"/>
    </xf>
    <xf numFmtId="0" fontId="117" fillId="0" borderId="0" xfId="0" applyFont="1" applyAlignment="1">
      <alignment horizontal="left" vertical="center" indent="1"/>
    </xf>
    <xf numFmtId="0" fontId="91" fillId="0" borderId="0" xfId="0" applyFont="1" applyAlignment="1">
      <alignment horizontal="center"/>
    </xf>
    <xf numFmtId="0" fontId="92" fillId="57" borderId="0" xfId="0" applyFont="1" applyFill="1" applyAlignment="1">
      <alignment horizontal="center"/>
    </xf>
    <xf numFmtId="0" fontId="97" fillId="60" borderId="0" xfId="0" applyFont="1" applyFill="1" applyAlignment="1">
      <alignment horizontal="left" vertical="center" indent="1"/>
    </xf>
    <xf numFmtId="0" fontId="99" fillId="71" borderId="0" xfId="0" applyFont="1" applyFill="1" applyAlignment="1">
      <alignment horizontal="left" vertical="center" indent="1"/>
    </xf>
    <xf numFmtId="0" fontId="3" fillId="0" borderId="0" xfId="0" applyFont="1"/>
    <xf numFmtId="0" fontId="19" fillId="2" borderId="0" xfId="0" applyFont="1" applyFill="1" applyAlignment="1">
      <alignment horizontal="center" vertical="center"/>
    </xf>
    <xf numFmtId="0" fontId="25" fillId="13" borderId="4" xfId="0" applyFont="1" applyFill="1" applyBorder="1" applyAlignment="1">
      <alignment horizontal="center" vertical="center"/>
    </xf>
    <xf numFmtId="0" fontId="0" fillId="0" borderId="62" xfId="0" applyBorder="1"/>
    <xf numFmtId="0" fontId="0" fillId="0" borderId="63" xfId="0" applyBorder="1"/>
    <xf numFmtId="0" fontId="0" fillId="0" borderId="64" xfId="0" applyBorder="1"/>
    <xf numFmtId="0" fontId="0" fillId="0" borderId="65" xfId="0" applyBorder="1"/>
    <xf numFmtId="0" fontId="0" fillId="0" borderId="21" xfId="0" applyBorder="1"/>
  </cellXfs>
  <cellStyles count="820">
    <cellStyle name="_x000b_" xfId="47" xr:uid="{00000000-0005-0000-0000-00002F000000}"/>
    <cellStyle name="_02 Price and Cost Break down Sheet" xfId="48" xr:uid="{00000000-0005-0000-0000-000030000000}"/>
    <cellStyle name="_Forklift 2008 12 11" xfId="49" xr:uid="{00000000-0005-0000-0000-000031000000}"/>
    <cellStyle name="_Metrics Brasil" xfId="50" xr:uid="{00000000-0005-0000-0000-000032000000}"/>
    <cellStyle name="0,0_x000d__x000a_NA_x000d__x000a_" xfId="51" xr:uid="{00000000-0005-0000-0000-000033000000}"/>
    <cellStyle name="0,0_x000d__x000a_NA_x000d__x000a_ 2" xfId="52" xr:uid="{00000000-0005-0000-0000-000034000000}"/>
    <cellStyle name="20 % - Accent1 2" xfId="53" xr:uid="{00000000-0005-0000-0000-000035000000}"/>
    <cellStyle name="20 % - Accent2 2" xfId="54" xr:uid="{00000000-0005-0000-0000-000036000000}"/>
    <cellStyle name="20 % - Accent3 2" xfId="55" xr:uid="{00000000-0005-0000-0000-000037000000}"/>
    <cellStyle name="20 % - Accent4 2" xfId="56" xr:uid="{00000000-0005-0000-0000-000038000000}"/>
    <cellStyle name="20 % - Accent5 2" xfId="57" xr:uid="{00000000-0005-0000-0000-000039000000}"/>
    <cellStyle name="20 % - Accent6 2" xfId="58" xr:uid="{00000000-0005-0000-0000-00003A000000}"/>
    <cellStyle name="20% - Accent1" xfId="59" xr:uid="{00000000-0005-0000-0000-00003B000000}"/>
    <cellStyle name="20% - Accent1 2" xfId="60" xr:uid="{00000000-0005-0000-0000-00003C000000}"/>
    <cellStyle name="20% - Accent2" xfId="61" xr:uid="{00000000-0005-0000-0000-00003D000000}"/>
    <cellStyle name="20% - Accent2 2" xfId="62" xr:uid="{00000000-0005-0000-0000-00003E000000}"/>
    <cellStyle name="20% - Accent3" xfId="63" xr:uid="{00000000-0005-0000-0000-00003F000000}"/>
    <cellStyle name="20% - Accent3 2" xfId="64" xr:uid="{00000000-0005-0000-0000-000040000000}"/>
    <cellStyle name="20% - Accent4" xfId="65" xr:uid="{00000000-0005-0000-0000-000041000000}"/>
    <cellStyle name="20% - Accent4 2" xfId="66" xr:uid="{00000000-0005-0000-0000-000042000000}"/>
    <cellStyle name="20% - Accent5" xfId="67" xr:uid="{00000000-0005-0000-0000-000043000000}"/>
    <cellStyle name="20% - Accent6" xfId="68" xr:uid="{00000000-0005-0000-0000-000044000000}"/>
    <cellStyle name="20% - Akzent1" xfId="6" xr:uid="{00000000-0005-0000-0000-000006000000}"/>
    <cellStyle name="20% - Akzent2" xfId="7" xr:uid="{00000000-0005-0000-0000-000007000000}"/>
    <cellStyle name="20% - Akzent3" xfId="8" xr:uid="{00000000-0005-0000-0000-000008000000}"/>
    <cellStyle name="20% - Akzent4" xfId="9" xr:uid="{00000000-0005-0000-0000-000009000000}"/>
    <cellStyle name="20% - Akzent5" xfId="10" xr:uid="{00000000-0005-0000-0000-00000A000000}"/>
    <cellStyle name="20% - Akzent6" xfId="11" xr:uid="{00000000-0005-0000-0000-00000B000000}"/>
    <cellStyle name="40 % - Accent1 2" xfId="69" xr:uid="{00000000-0005-0000-0000-000045000000}"/>
    <cellStyle name="40 % - Accent2 2" xfId="70" xr:uid="{00000000-0005-0000-0000-000046000000}"/>
    <cellStyle name="40 % - Accent3 2" xfId="71" xr:uid="{00000000-0005-0000-0000-000047000000}"/>
    <cellStyle name="40 % - Accent4 2" xfId="72" xr:uid="{00000000-0005-0000-0000-000048000000}"/>
    <cellStyle name="40 % - Accent6 2" xfId="73" xr:uid="{00000000-0005-0000-0000-000049000000}"/>
    <cellStyle name="40% - Accent1" xfId="74" xr:uid="{00000000-0005-0000-0000-00004A000000}"/>
    <cellStyle name="40% - Accent2" xfId="75" xr:uid="{00000000-0005-0000-0000-00004B000000}"/>
    <cellStyle name="40% - Accent3" xfId="76" xr:uid="{00000000-0005-0000-0000-00004C000000}"/>
    <cellStyle name="40% - Accent3 2" xfId="77" xr:uid="{00000000-0005-0000-0000-00004D000000}"/>
    <cellStyle name="40% - Accent4" xfId="78" xr:uid="{00000000-0005-0000-0000-00004E000000}"/>
    <cellStyle name="40% - Accent5" xfId="79" xr:uid="{00000000-0005-0000-0000-00004F000000}"/>
    <cellStyle name="40% - Accent6" xfId="80" xr:uid="{00000000-0005-0000-0000-000050000000}"/>
    <cellStyle name="40% - Akzent1" xfId="12" xr:uid="{00000000-0005-0000-0000-00000C000000}"/>
    <cellStyle name="40% - Akzent2" xfId="13" xr:uid="{00000000-0005-0000-0000-00000D000000}"/>
    <cellStyle name="40% - Akzent3" xfId="14" xr:uid="{00000000-0005-0000-0000-00000E000000}"/>
    <cellStyle name="40% - Akzent4" xfId="15" xr:uid="{00000000-0005-0000-0000-00000F000000}"/>
    <cellStyle name="40% - Akzent5" xfId="16" xr:uid="{00000000-0005-0000-0000-000010000000}"/>
    <cellStyle name="40% - Akzent6" xfId="17" xr:uid="{00000000-0005-0000-0000-000011000000}"/>
    <cellStyle name="60 % - Accent1 2" xfId="81" xr:uid="{00000000-0005-0000-0000-000051000000}"/>
    <cellStyle name="60 % - Accent2 2" xfId="82" xr:uid="{00000000-0005-0000-0000-000052000000}"/>
    <cellStyle name="60 % - Accent3 2" xfId="83" xr:uid="{00000000-0005-0000-0000-000053000000}"/>
    <cellStyle name="60 % - Accent4 2" xfId="84" xr:uid="{00000000-0005-0000-0000-000054000000}"/>
    <cellStyle name="60 % - Accent5 2" xfId="85" xr:uid="{00000000-0005-0000-0000-000055000000}"/>
    <cellStyle name="60 % - Accent6 2" xfId="86" xr:uid="{00000000-0005-0000-0000-000056000000}"/>
    <cellStyle name="60% - Accent1" xfId="87" xr:uid="{00000000-0005-0000-0000-000057000000}"/>
    <cellStyle name="60% - Accent2" xfId="88" xr:uid="{00000000-0005-0000-0000-000058000000}"/>
    <cellStyle name="60% - Accent3" xfId="89" xr:uid="{00000000-0005-0000-0000-000059000000}"/>
    <cellStyle name="60% - Accent3 2" xfId="90" xr:uid="{00000000-0005-0000-0000-00005A000000}"/>
    <cellStyle name="60% - Accent4" xfId="91" xr:uid="{00000000-0005-0000-0000-00005B000000}"/>
    <cellStyle name="60% - Accent4 2" xfId="92" xr:uid="{00000000-0005-0000-0000-00005C000000}"/>
    <cellStyle name="60% - Accent5" xfId="93" xr:uid="{00000000-0005-0000-0000-00005D000000}"/>
    <cellStyle name="60% - Accent6" xfId="94" xr:uid="{00000000-0005-0000-0000-00005E000000}"/>
    <cellStyle name="60% - Accent6 2" xfId="95" xr:uid="{00000000-0005-0000-0000-00005F000000}"/>
    <cellStyle name="60% - Akzent1" xfId="18" xr:uid="{00000000-0005-0000-0000-000012000000}"/>
    <cellStyle name="60% - Akzent2" xfId="19" xr:uid="{00000000-0005-0000-0000-000013000000}"/>
    <cellStyle name="60% - Akzent3" xfId="20" xr:uid="{00000000-0005-0000-0000-000014000000}"/>
    <cellStyle name="60% - Akzent4" xfId="21" xr:uid="{00000000-0005-0000-0000-000015000000}"/>
    <cellStyle name="60% - Akzent5" xfId="22" xr:uid="{00000000-0005-0000-0000-000016000000}"/>
    <cellStyle name="60% - Akzent6" xfId="23" xr:uid="{00000000-0005-0000-0000-000017000000}"/>
    <cellStyle name="Accent1 2" xfId="96" xr:uid="{00000000-0005-0000-0000-000060000000}"/>
    <cellStyle name="Accent1 3" xfId="97" xr:uid="{00000000-0005-0000-0000-000061000000}"/>
    <cellStyle name="Accent2 2" xfId="98" xr:uid="{00000000-0005-0000-0000-000062000000}"/>
    <cellStyle name="Accent2 3" xfId="99" xr:uid="{00000000-0005-0000-0000-000063000000}"/>
    <cellStyle name="Accent3 2" xfId="100" xr:uid="{00000000-0005-0000-0000-000064000000}"/>
    <cellStyle name="Accent3 3" xfId="101" xr:uid="{00000000-0005-0000-0000-000065000000}"/>
    <cellStyle name="Accent4 2" xfId="102" xr:uid="{00000000-0005-0000-0000-000066000000}"/>
    <cellStyle name="Accent4 3" xfId="103" xr:uid="{00000000-0005-0000-0000-000067000000}"/>
    <cellStyle name="Accent5 2" xfId="104" xr:uid="{00000000-0005-0000-0000-000068000000}"/>
    <cellStyle name="Accent5 3" xfId="105" xr:uid="{00000000-0005-0000-0000-000069000000}"/>
    <cellStyle name="Accent6 2" xfId="106" xr:uid="{00000000-0005-0000-0000-00006A000000}"/>
    <cellStyle name="Accent6 3" xfId="107" xr:uid="{00000000-0005-0000-0000-00006B000000}"/>
    <cellStyle name="args.style" xfId="108" xr:uid="{00000000-0005-0000-0000-00006C000000}"/>
    <cellStyle name="Avertissement 2" xfId="109" xr:uid="{00000000-0005-0000-0000-00006D000000}"/>
    <cellStyle name="Bad" xfId="110" xr:uid="{00000000-0005-0000-0000-00006E000000}"/>
    <cellStyle name="BARCOFEJ" xfId="111" xr:uid="{00000000-0005-0000-0000-00006F000000}"/>
    <cellStyle name="Calcul 2" xfId="112" xr:uid="{00000000-0005-0000-0000-000070000000}"/>
    <cellStyle name="Calcul 2 2" xfId="709" xr:uid="{00000000-0005-0000-0000-0000C5020000}"/>
    <cellStyle name="Calcul 2 2 2" xfId="754" xr:uid="{00000000-0005-0000-0000-0000F2020000}"/>
    <cellStyle name="Calcul 2 2 3" xfId="777" xr:uid="{00000000-0005-0000-0000-000009030000}"/>
    <cellStyle name="Calcul 2 2 4" xfId="794" xr:uid="{00000000-0005-0000-0000-00001A030000}"/>
    <cellStyle name="Calcul 2 3" xfId="740" xr:uid="{00000000-0005-0000-0000-0000E4020000}"/>
    <cellStyle name="Calculation" xfId="113" xr:uid="{00000000-0005-0000-0000-000071000000}"/>
    <cellStyle name="Calculation 2" xfId="710" xr:uid="{00000000-0005-0000-0000-0000C6020000}"/>
    <cellStyle name="Calculation 2 2" xfId="755" xr:uid="{00000000-0005-0000-0000-0000F3020000}"/>
    <cellStyle name="Calculation 2 3" xfId="778" xr:uid="{00000000-0005-0000-0000-00000A030000}"/>
    <cellStyle name="Calculation 2 4" xfId="795" xr:uid="{00000000-0005-0000-0000-00001B030000}"/>
    <cellStyle name="Calculation 3" xfId="752" xr:uid="{00000000-0005-0000-0000-0000F0020000}"/>
    <cellStyle name="Cancel" xfId="114" xr:uid="{00000000-0005-0000-0000-000072000000}"/>
    <cellStyle name="Cellule liée 2" xfId="115" xr:uid="{00000000-0005-0000-0000-000073000000}"/>
    <cellStyle name="Check" xfId="705" xr:uid="{00000000-0005-0000-0000-0000C1020000}"/>
    <cellStyle name="Check Cell" xfId="116" xr:uid="{00000000-0005-0000-0000-000074000000}"/>
    <cellStyle name="Comma 16" xfId="24" xr:uid="{00000000-0005-0000-0000-000018000000}"/>
    <cellStyle name="Comma 16 2" xfId="42" xr:uid="{00000000-0005-0000-0000-00002A000000}"/>
    <cellStyle name="Comma 16 3" xfId="39" xr:uid="{00000000-0005-0000-0000-000027000000}"/>
    <cellStyle name="Comma 2" xfId="5" xr:uid="{00000000-0005-0000-0000-000005000000}"/>
    <cellStyle name="Comma 3" xfId="707" xr:uid="{00000000-0005-0000-0000-0000C3020000}"/>
    <cellStyle name="Commentaire 2" xfId="117" xr:uid="{00000000-0005-0000-0000-000075000000}"/>
    <cellStyle name="Commentaire 3" xfId="118" xr:uid="{00000000-0005-0000-0000-000076000000}"/>
    <cellStyle name="Commentaire 3 2" xfId="711" xr:uid="{00000000-0005-0000-0000-0000C7020000}"/>
    <cellStyle name="Commentaire 3 2 2" xfId="756" xr:uid="{00000000-0005-0000-0000-0000F4020000}"/>
    <cellStyle name="Commentaire 3 2 3" xfId="779" xr:uid="{00000000-0005-0000-0000-00000B030000}"/>
    <cellStyle name="Commentaire 3 2 4" xfId="796" xr:uid="{00000000-0005-0000-0000-00001C030000}"/>
    <cellStyle name="Commentaire 3 3" xfId="750" xr:uid="{00000000-0005-0000-0000-0000EE020000}"/>
    <cellStyle name="Currency 2" xfId="119" xr:uid="{00000000-0005-0000-0000-000077000000}"/>
    <cellStyle name="Datum" xfId="120" xr:uid="{00000000-0005-0000-0000-000078000000}"/>
    <cellStyle name="DBFEJLEC" xfId="121" xr:uid="{00000000-0005-0000-0000-000079000000}"/>
    <cellStyle name="Dezimal 2 2" xfId="33" xr:uid="{00000000-0005-0000-0000-000021000000}"/>
    <cellStyle name="Dezimal 3" xfId="34" xr:uid="{00000000-0005-0000-0000-000022000000}"/>
    <cellStyle name="Dezimal 3 2" xfId="329" xr:uid="{00000000-0005-0000-0000-000049010000}"/>
    <cellStyle name="Entrée 2" xfId="122" xr:uid="{00000000-0005-0000-0000-00007A000000}"/>
    <cellStyle name="Entrée 2 2" xfId="712" xr:uid="{00000000-0005-0000-0000-0000C8020000}"/>
    <cellStyle name="Entrée 2 2 2" xfId="757" xr:uid="{00000000-0005-0000-0000-0000F5020000}"/>
    <cellStyle name="Entrée 2 2 3" xfId="780" xr:uid="{00000000-0005-0000-0000-00000C030000}"/>
    <cellStyle name="Entrée 2 2 4" xfId="797" xr:uid="{00000000-0005-0000-0000-00001D030000}"/>
    <cellStyle name="Entrée 2 3" xfId="749" xr:uid="{00000000-0005-0000-0000-0000ED020000}"/>
    <cellStyle name="Estilo 1" xfId="123" xr:uid="{00000000-0005-0000-0000-00007B000000}"/>
    <cellStyle name="Euro" xfId="25" xr:uid="{00000000-0005-0000-0000-000019000000}"/>
    <cellStyle name="Euro 10" xfId="330" xr:uid="{00000000-0005-0000-0000-00004A010000}"/>
    <cellStyle name="Euro 11" xfId="672" xr:uid="{00000000-0005-0000-0000-0000A0020000}"/>
    <cellStyle name="Euro 2" xfId="124" xr:uid="{00000000-0005-0000-0000-00007C000000}"/>
    <cellStyle name="Euro 3" xfId="331" xr:uid="{00000000-0005-0000-0000-00004B010000}"/>
    <cellStyle name="Euro 4" xfId="332" xr:uid="{00000000-0005-0000-0000-00004C010000}"/>
    <cellStyle name="Euro 5" xfId="333" xr:uid="{00000000-0005-0000-0000-00004D010000}"/>
    <cellStyle name="Euro 6" xfId="334" xr:uid="{00000000-0005-0000-0000-00004E010000}"/>
    <cellStyle name="Euro 7" xfId="335" xr:uid="{00000000-0005-0000-0000-00004F010000}"/>
    <cellStyle name="Euro 8" xfId="336" xr:uid="{00000000-0005-0000-0000-000050010000}"/>
    <cellStyle name="Euro 9" xfId="337" xr:uid="{00000000-0005-0000-0000-000051010000}"/>
    <cellStyle name="Explanatory Text" xfId="125" xr:uid="{00000000-0005-0000-0000-00007D000000}"/>
    <cellStyle name="fw" xfId="26" xr:uid="{00000000-0005-0000-0000-00001A000000}"/>
    <cellStyle name="Good" xfId="126" xr:uid="{00000000-0005-0000-0000-00007E000000}"/>
    <cellStyle name="Grey" xfId="127" xr:uid="{00000000-0005-0000-0000-00007F000000}"/>
    <cellStyle name="Header1" xfId="128" xr:uid="{00000000-0005-0000-0000-000080000000}"/>
    <cellStyle name="Header2" xfId="129" xr:uid="{00000000-0005-0000-0000-000081000000}"/>
    <cellStyle name="Header2 2" xfId="713" xr:uid="{00000000-0005-0000-0000-0000C9020000}"/>
    <cellStyle name="Header2 2 2" xfId="758" xr:uid="{00000000-0005-0000-0000-0000F6020000}"/>
    <cellStyle name="Header2 2 3" xfId="781" xr:uid="{00000000-0005-0000-0000-00000D030000}"/>
    <cellStyle name="Header2 2 4" xfId="798" xr:uid="{00000000-0005-0000-0000-00001E030000}"/>
    <cellStyle name="Heading 1" xfId="130" xr:uid="{00000000-0005-0000-0000-000082000000}"/>
    <cellStyle name="Heading 2" xfId="131" xr:uid="{00000000-0005-0000-0000-000083000000}"/>
    <cellStyle name="Heading 3" xfId="132" xr:uid="{00000000-0005-0000-0000-000084000000}"/>
    <cellStyle name="Heading 4" xfId="133" xr:uid="{00000000-0005-0000-0000-000085000000}"/>
    <cellStyle name="Hyperlink 2" xfId="134" xr:uid="{00000000-0005-0000-0000-000086000000}"/>
    <cellStyle name="Hyperlink 2 2" xfId="135" xr:uid="{00000000-0005-0000-0000-000087000000}"/>
    <cellStyle name="Hyperlink 3" xfId="27" xr:uid="{00000000-0005-0000-0000-00001B000000}"/>
    <cellStyle name="Hyperlink 3 2" xfId="338" xr:uid="{00000000-0005-0000-0000-000052010000}"/>
    <cellStyle name="Hyperlink 3 3" xfId="339" xr:uid="{00000000-0005-0000-0000-000053010000}"/>
    <cellStyle name="Input" xfId="136" xr:uid="{00000000-0005-0000-0000-000088000000}"/>
    <cellStyle name="Input [yellow]" xfId="137" xr:uid="{00000000-0005-0000-0000-000089000000}"/>
    <cellStyle name="Input [yellow] 2" xfId="715" xr:uid="{00000000-0005-0000-0000-0000CB020000}"/>
    <cellStyle name="Input [yellow] 2 2" xfId="760" xr:uid="{00000000-0005-0000-0000-0000F8020000}"/>
    <cellStyle name="Input [yellow] 2 3" xfId="800" xr:uid="{00000000-0005-0000-0000-000020030000}"/>
    <cellStyle name="Input [yellow] 3" xfId="728" xr:uid="{00000000-0005-0000-0000-0000D8020000}"/>
    <cellStyle name="Input [yellow] 3 2" xfId="773" xr:uid="{00000000-0005-0000-0000-000005030000}"/>
    <cellStyle name="Input [yellow] 3 3" xfId="813" xr:uid="{00000000-0005-0000-0000-00002D030000}"/>
    <cellStyle name="Input [yellow] 4" xfId="733" xr:uid="{00000000-0005-0000-0000-0000DD020000}"/>
    <cellStyle name="Input 2" xfId="714" xr:uid="{00000000-0005-0000-0000-0000CA020000}"/>
    <cellStyle name="Input 2 2" xfId="759" xr:uid="{00000000-0005-0000-0000-0000F7020000}"/>
    <cellStyle name="Input 2 3" xfId="782" xr:uid="{00000000-0005-0000-0000-00000E030000}"/>
    <cellStyle name="Input 2 4" xfId="799" xr:uid="{00000000-0005-0000-0000-00001F030000}"/>
    <cellStyle name="Input 3" xfId="729" xr:uid="{00000000-0005-0000-0000-0000D9020000}"/>
    <cellStyle name="Input 3 2" xfId="774" xr:uid="{00000000-0005-0000-0000-000006030000}"/>
    <cellStyle name="Input 3 3" xfId="791" xr:uid="{00000000-0005-0000-0000-000017030000}"/>
    <cellStyle name="Input 3 4" xfId="814" xr:uid="{00000000-0005-0000-0000-00002E030000}"/>
    <cellStyle name="Input 4" xfId="732" xr:uid="{00000000-0005-0000-0000-0000DC020000}"/>
    <cellStyle name="Input 5" xfId="748" xr:uid="{00000000-0005-0000-0000-0000EC020000}"/>
    <cellStyle name="Input 6" xfId="745" xr:uid="{00000000-0005-0000-0000-0000E9020000}"/>
    <cellStyle name="Insatisfaisant 2" xfId="138" xr:uid="{00000000-0005-0000-0000-00008A000000}"/>
    <cellStyle name="Komma 2" xfId="139" xr:uid="{00000000-0005-0000-0000-00008B000000}"/>
    <cellStyle name="Komma 2 10" xfId="673" xr:uid="{00000000-0005-0000-0000-0000A1020000}"/>
    <cellStyle name="Komma 2 2" xfId="140" xr:uid="{00000000-0005-0000-0000-00008C000000}"/>
    <cellStyle name="Komma 2 3" xfId="340" xr:uid="{00000000-0005-0000-0000-000054010000}"/>
    <cellStyle name="Komma 2 4" xfId="341" xr:uid="{00000000-0005-0000-0000-000055010000}"/>
    <cellStyle name="Komma 2 5" xfId="342" xr:uid="{00000000-0005-0000-0000-000056010000}"/>
    <cellStyle name="Komma 2 6" xfId="343" xr:uid="{00000000-0005-0000-0000-000057010000}"/>
    <cellStyle name="Komma 2 7" xfId="344" xr:uid="{00000000-0005-0000-0000-000058010000}"/>
    <cellStyle name="Komma 2 8" xfId="345" xr:uid="{00000000-0005-0000-0000-000059010000}"/>
    <cellStyle name="Komma 2 9" xfId="346" xr:uid="{00000000-0005-0000-0000-00005A010000}"/>
    <cellStyle name="Komma 3" xfId="141" xr:uid="{00000000-0005-0000-0000-00008D000000}"/>
    <cellStyle name="Komma 3 2" xfId="347" xr:uid="{00000000-0005-0000-0000-00005B010000}"/>
    <cellStyle name="Komma 3 2 2" xfId="348" xr:uid="{00000000-0005-0000-0000-00005C010000}"/>
    <cellStyle name="Komma 3 2 2 2" xfId="349" xr:uid="{00000000-0005-0000-0000-00005D010000}"/>
    <cellStyle name="Komma 3 2 3" xfId="350" xr:uid="{00000000-0005-0000-0000-00005E010000}"/>
    <cellStyle name="Komma 3 3" xfId="351" xr:uid="{00000000-0005-0000-0000-00005F010000}"/>
    <cellStyle name="Komma 3 3 2" xfId="352" xr:uid="{00000000-0005-0000-0000-000060010000}"/>
    <cellStyle name="Komma 3 3 2 2" xfId="353" xr:uid="{00000000-0005-0000-0000-000061010000}"/>
    <cellStyle name="Komma 3 3 3" xfId="354" xr:uid="{00000000-0005-0000-0000-000062010000}"/>
    <cellStyle name="Komma 3 4" xfId="355" xr:uid="{00000000-0005-0000-0000-000063010000}"/>
    <cellStyle name="Komma 3 4 2" xfId="356" xr:uid="{00000000-0005-0000-0000-000064010000}"/>
    <cellStyle name="Komma 3 4 2 2" xfId="357" xr:uid="{00000000-0005-0000-0000-000065010000}"/>
    <cellStyle name="Komma 3 4 3" xfId="358" xr:uid="{00000000-0005-0000-0000-000066010000}"/>
    <cellStyle name="Komma 3 5" xfId="359" xr:uid="{00000000-0005-0000-0000-000067010000}"/>
    <cellStyle name="Komma 3 5 2" xfId="360" xr:uid="{00000000-0005-0000-0000-000068010000}"/>
    <cellStyle name="Komma 3 6" xfId="361" xr:uid="{00000000-0005-0000-0000-000069010000}"/>
    <cellStyle name="Komma 3 7" xfId="362" xr:uid="{00000000-0005-0000-0000-00006A010000}"/>
    <cellStyle name="Komma 3 8" xfId="674" xr:uid="{00000000-0005-0000-0000-0000A2020000}"/>
    <cellStyle name="Komma 4" xfId="142" xr:uid="{00000000-0005-0000-0000-00008E000000}"/>
    <cellStyle name="Komma 8" xfId="143" xr:uid="{00000000-0005-0000-0000-00008F000000}"/>
    <cellStyle name="Komma 8 2" xfId="363" xr:uid="{00000000-0005-0000-0000-00006B010000}"/>
    <cellStyle name="Komma 8 3" xfId="364" xr:uid="{00000000-0005-0000-0000-00006C010000}"/>
    <cellStyle name="Komma 8 4" xfId="675" xr:uid="{00000000-0005-0000-0000-0000A3020000}"/>
    <cellStyle name="Lien hypertexte" xfId="819" builtinId="8"/>
    <cellStyle name="Linked Cell" xfId="144" xr:uid="{00000000-0005-0000-0000-000090000000}"/>
    <cellStyle name="MEGSZUNT" xfId="145" xr:uid="{00000000-0005-0000-0000-000091000000}"/>
    <cellStyle name="Migliaia (0)_1997 YTD AGO WELCOME" xfId="146" xr:uid="{00000000-0005-0000-0000-000092000000}"/>
    <cellStyle name="Milliers" xfId="816" builtinId="3"/>
    <cellStyle name="Milliers 10" xfId="45" xr:uid="{00000000-0005-0000-0000-00002D000000}"/>
    <cellStyle name="Milliers 10 2" xfId="328" xr:uid="{00000000-0005-0000-0000-000048010000}"/>
    <cellStyle name="Milliers 11" xfId="365" xr:uid="{00000000-0005-0000-0000-00006D010000}"/>
    <cellStyle name="Milliers 11 2" xfId="366" xr:uid="{00000000-0005-0000-0000-00006E010000}"/>
    <cellStyle name="Milliers 12" xfId="367" xr:uid="{00000000-0005-0000-0000-00006F010000}"/>
    <cellStyle name="Milliers 13" xfId="368" xr:uid="{00000000-0005-0000-0000-000070010000}"/>
    <cellStyle name="Milliers 13 2" xfId="369" xr:uid="{00000000-0005-0000-0000-000071010000}"/>
    <cellStyle name="Milliers 13 2 2" xfId="370" xr:uid="{00000000-0005-0000-0000-000072010000}"/>
    <cellStyle name="Milliers 13 3" xfId="371" xr:uid="{00000000-0005-0000-0000-000073010000}"/>
    <cellStyle name="Milliers 14" xfId="372" xr:uid="{00000000-0005-0000-0000-000074010000}"/>
    <cellStyle name="Milliers 15" xfId="373" xr:uid="{00000000-0005-0000-0000-000075010000}"/>
    <cellStyle name="Milliers 15 2" xfId="374" xr:uid="{00000000-0005-0000-0000-000076010000}"/>
    <cellStyle name="Milliers 16" xfId="375" xr:uid="{00000000-0005-0000-0000-000077010000}"/>
    <cellStyle name="Milliers 17" xfId="376" xr:uid="{00000000-0005-0000-0000-000078010000}"/>
    <cellStyle name="Milliers 18" xfId="676" xr:uid="{00000000-0005-0000-0000-0000A4020000}"/>
    <cellStyle name="Milliers 19" xfId="37" xr:uid="{00000000-0005-0000-0000-000025000000}"/>
    <cellStyle name="Milliers 2" xfId="46" xr:uid="{00000000-0005-0000-0000-00002E000000}"/>
    <cellStyle name="Milliers 2 10" xfId="377" xr:uid="{00000000-0005-0000-0000-000079010000}"/>
    <cellStyle name="Milliers 2 11" xfId="677" xr:uid="{00000000-0005-0000-0000-0000A5020000}"/>
    <cellStyle name="Milliers 2 2" xfId="147" xr:uid="{00000000-0005-0000-0000-000093000000}"/>
    <cellStyle name="Milliers 2 2 2" xfId="378" xr:uid="{00000000-0005-0000-0000-00007A010000}"/>
    <cellStyle name="Milliers 2 2 3" xfId="379" xr:uid="{00000000-0005-0000-0000-00007B010000}"/>
    <cellStyle name="Milliers 2 2 4" xfId="380" xr:uid="{00000000-0005-0000-0000-00007C010000}"/>
    <cellStyle name="Milliers 2 2 5" xfId="381" xr:uid="{00000000-0005-0000-0000-00007D010000}"/>
    <cellStyle name="Milliers 2 2 6" xfId="382" xr:uid="{00000000-0005-0000-0000-00007E010000}"/>
    <cellStyle name="Milliers 2 2 7" xfId="383" xr:uid="{00000000-0005-0000-0000-00007F010000}"/>
    <cellStyle name="Milliers 2 2 8" xfId="384" xr:uid="{00000000-0005-0000-0000-000080010000}"/>
    <cellStyle name="Milliers 2 2 9" xfId="678" xr:uid="{00000000-0005-0000-0000-0000A6020000}"/>
    <cellStyle name="Milliers 2 3" xfId="148" xr:uid="{00000000-0005-0000-0000-000094000000}"/>
    <cellStyle name="Milliers 2 3 10" xfId="385" xr:uid="{00000000-0005-0000-0000-000081010000}"/>
    <cellStyle name="Milliers 2 3 11" xfId="679" xr:uid="{00000000-0005-0000-0000-0000A7020000}"/>
    <cellStyle name="Milliers 2 3 2" xfId="149" xr:uid="{00000000-0005-0000-0000-000095000000}"/>
    <cellStyle name="Milliers 2 3 2 2" xfId="386" xr:uid="{00000000-0005-0000-0000-000082010000}"/>
    <cellStyle name="Milliers 2 3 2 3" xfId="387" xr:uid="{00000000-0005-0000-0000-000083010000}"/>
    <cellStyle name="Milliers 2 3 2 4" xfId="388" xr:uid="{00000000-0005-0000-0000-000084010000}"/>
    <cellStyle name="Milliers 2 3 2 5" xfId="389" xr:uid="{00000000-0005-0000-0000-000085010000}"/>
    <cellStyle name="Milliers 2 3 2 6" xfId="390" xr:uid="{00000000-0005-0000-0000-000086010000}"/>
    <cellStyle name="Milliers 2 3 2 7" xfId="391" xr:uid="{00000000-0005-0000-0000-000087010000}"/>
    <cellStyle name="Milliers 2 3 2 8" xfId="392" xr:uid="{00000000-0005-0000-0000-000088010000}"/>
    <cellStyle name="Milliers 2 3 2 9" xfId="680" xr:uid="{00000000-0005-0000-0000-0000A8020000}"/>
    <cellStyle name="Milliers 2 3 3" xfId="393" xr:uid="{00000000-0005-0000-0000-000089010000}"/>
    <cellStyle name="Milliers 2 3 4" xfId="394" xr:uid="{00000000-0005-0000-0000-00008A010000}"/>
    <cellStyle name="Milliers 2 3 5" xfId="395" xr:uid="{00000000-0005-0000-0000-00008B010000}"/>
    <cellStyle name="Milliers 2 3 6" xfId="396" xr:uid="{00000000-0005-0000-0000-00008C010000}"/>
    <cellStyle name="Milliers 2 3 7" xfId="397" xr:uid="{00000000-0005-0000-0000-00008D010000}"/>
    <cellStyle name="Milliers 2 3 8" xfId="398" xr:uid="{00000000-0005-0000-0000-00008E010000}"/>
    <cellStyle name="Milliers 2 3 9" xfId="399" xr:uid="{00000000-0005-0000-0000-00008F010000}"/>
    <cellStyle name="Milliers 2 4" xfId="400" xr:uid="{00000000-0005-0000-0000-000090010000}"/>
    <cellStyle name="Milliers 2 5" xfId="401" xr:uid="{00000000-0005-0000-0000-000091010000}"/>
    <cellStyle name="Milliers 2 6" xfId="402" xr:uid="{00000000-0005-0000-0000-000092010000}"/>
    <cellStyle name="Milliers 2 7" xfId="403" xr:uid="{00000000-0005-0000-0000-000093010000}"/>
    <cellStyle name="Milliers 2 8" xfId="404" xr:uid="{00000000-0005-0000-0000-000094010000}"/>
    <cellStyle name="Milliers 2 8 2" xfId="405" xr:uid="{00000000-0005-0000-0000-000095010000}"/>
    <cellStyle name="Milliers 2 9" xfId="406" xr:uid="{00000000-0005-0000-0000-000096010000}"/>
    <cellStyle name="Milliers 3" xfId="150" xr:uid="{00000000-0005-0000-0000-000096000000}"/>
    <cellStyle name="Milliers 3 2" xfId="407" xr:uid="{00000000-0005-0000-0000-000097010000}"/>
    <cellStyle name="Milliers 3 3" xfId="408" xr:uid="{00000000-0005-0000-0000-000098010000}"/>
    <cellStyle name="Milliers 3 4" xfId="409" xr:uid="{00000000-0005-0000-0000-000099010000}"/>
    <cellStyle name="Milliers 3 5" xfId="410" xr:uid="{00000000-0005-0000-0000-00009A010000}"/>
    <cellStyle name="Milliers 3 6" xfId="411" xr:uid="{00000000-0005-0000-0000-00009B010000}"/>
    <cellStyle name="Milliers 3 7" xfId="412" xr:uid="{00000000-0005-0000-0000-00009C010000}"/>
    <cellStyle name="Milliers 3 8" xfId="413" xr:uid="{00000000-0005-0000-0000-00009D010000}"/>
    <cellStyle name="Milliers 3 9" xfId="681" xr:uid="{00000000-0005-0000-0000-0000A9020000}"/>
    <cellStyle name="Milliers 4" xfId="151" xr:uid="{00000000-0005-0000-0000-000097000000}"/>
    <cellStyle name="Milliers 4 2" xfId="414" xr:uid="{00000000-0005-0000-0000-00009E010000}"/>
    <cellStyle name="Milliers 4 3" xfId="415" xr:uid="{00000000-0005-0000-0000-00009F010000}"/>
    <cellStyle name="Milliers 4 4" xfId="416" xr:uid="{00000000-0005-0000-0000-0000A0010000}"/>
    <cellStyle name="Milliers 4 5" xfId="417" xr:uid="{00000000-0005-0000-0000-0000A1010000}"/>
    <cellStyle name="Milliers 4 6" xfId="418" xr:uid="{00000000-0005-0000-0000-0000A2010000}"/>
    <cellStyle name="Milliers 4 7" xfId="419" xr:uid="{00000000-0005-0000-0000-0000A3010000}"/>
    <cellStyle name="Milliers 4 8" xfId="420" xr:uid="{00000000-0005-0000-0000-0000A4010000}"/>
    <cellStyle name="Milliers 4 9" xfId="682" xr:uid="{00000000-0005-0000-0000-0000AA020000}"/>
    <cellStyle name="Milliers 5" xfId="152" xr:uid="{00000000-0005-0000-0000-000098000000}"/>
    <cellStyle name="Milliers 5 2" xfId="421" xr:uid="{00000000-0005-0000-0000-0000A5010000}"/>
    <cellStyle name="Milliers 5 3" xfId="422" xr:uid="{00000000-0005-0000-0000-0000A6010000}"/>
    <cellStyle name="Milliers 5 4" xfId="423" xr:uid="{00000000-0005-0000-0000-0000A7010000}"/>
    <cellStyle name="Milliers 5 5" xfId="424" xr:uid="{00000000-0005-0000-0000-0000A8010000}"/>
    <cellStyle name="Milliers 5 6" xfId="425" xr:uid="{00000000-0005-0000-0000-0000A9010000}"/>
    <cellStyle name="Milliers 5 7" xfId="426" xr:uid="{00000000-0005-0000-0000-0000AA010000}"/>
    <cellStyle name="Milliers 5 8" xfId="427" xr:uid="{00000000-0005-0000-0000-0000AB010000}"/>
    <cellStyle name="Milliers 5 9" xfId="683" xr:uid="{00000000-0005-0000-0000-0000AB020000}"/>
    <cellStyle name="Milliers 6" xfId="153" xr:uid="{00000000-0005-0000-0000-000099000000}"/>
    <cellStyle name="Milliers 6 2" xfId="428" xr:uid="{00000000-0005-0000-0000-0000AC010000}"/>
    <cellStyle name="Milliers 6 3" xfId="429" xr:uid="{00000000-0005-0000-0000-0000AD010000}"/>
    <cellStyle name="Milliers 6 4" xfId="430" xr:uid="{00000000-0005-0000-0000-0000AE010000}"/>
    <cellStyle name="Milliers 6 5" xfId="431" xr:uid="{00000000-0005-0000-0000-0000AF010000}"/>
    <cellStyle name="Milliers 6 6" xfId="432" xr:uid="{00000000-0005-0000-0000-0000B0010000}"/>
    <cellStyle name="Milliers 6 7" xfId="433" xr:uid="{00000000-0005-0000-0000-0000B1010000}"/>
    <cellStyle name="Milliers 6 8" xfId="434" xr:uid="{00000000-0005-0000-0000-0000B2010000}"/>
    <cellStyle name="Milliers 6 9" xfId="684" xr:uid="{00000000-0005-0000-0000-0000AC020000}"/>
    <cellStyle name="Milliers 7" xfId="154" xr:uid="{00000000-0005-0000-0000-00009A000000}"/>
    <cellStyle name="Milliers 7 2" xfId="435" xr:uid="{00000000-0005-0000-0000-0000B3010000}"/>
    <cellStyle name="Milliers 7 2 2" xfId="436" xr:uid="{00000000-0005-0000-0000-0000B4010000}"/>
    <cellStyle name="Milliers 7 2 2 2" xfId="437" xr:uid="{00000000-0005-0000-0000-0000B5010000}"/>
    <cellStyle name="Milliers 7 2 3" xfId="438" xr:uid="{00000000-0005-0000-0000-0000B6010000}"/>
    <cellStyle name="Milliers 7 3" xfId="439" xr:uid="{00000000-0005-0000-0000-0000B7010000}"/>
    <cellStyle name="Milliers 7 3 2" xfId="440" xr:uid="{00000000-0005-0000-0000-0000B8010000}"/>
    <cellStyle name="Milliers 7 3 2 2" xfId="441" xr:uid="{00000000-0005-0000-0000-0000B9010000}"/>
    <cellStyle name="Milliers 7 3 3" xfId="442" xr:uid="{00000000-0005-0000-0000-0000BA010000}"/>
    <cellStyle name="Milliers 7 4" xfId="443" xr:uid="{00000000-0005-0000-0000-0000BB010000}"/>
    <cellStyle name="Milliers 7 4 2" xfId="444" xr:uid="{00000000-0005-0000-0000-0000BC010000}"/>
    <cellStyle name="Milliers 7 4 2 2" xfId="445" xr:uid="{00000000-0005-0000-0000-0000BD010000}"/>
    <cellStyle name="Milliers 7 4 3" xfId="446" xr:uid="{00000000-0005-0000-0000-0000BE010000}"/>
    <cellStyle name="Milliers 7 5" xfId="447" xr:uid="{00000000-0005-0000-0000-0000BF010000}"/>
    <cellStyle name="Milliers 7 5 2" xfId="448" xr:uid="{00000000-0005-0000-0000-0000C0010000}"/>
    <cellStyle name="Milliers 7 6" xfId="449" xr:uid="{00000000-0005-0000-0000-0000C1010000}"/>
    <cellStyle name="Milliers 7 7" xfId="450" xr:uid="{00000000-0005-0000-0000-0000C2010000}"/>
    <cellStyle name="Milliers 7 8" xfId="685" xr:uid="{00000000-0005-0000-0000-0000AD020000}"/>
    <cellStyle name="Milliers 8" xfId="155" xr:uid="{00000000-0005-0000-0000-00009B000000}"/>
    <cellStyle name="Milliers 8 2" xfId="451" xr:uid="{00000000-0005-0000-0000-0000C3010000}"/>
    <cellStyle name="Milliers 8 3" xfId="452" xr:uid="{00000000-0005-0000-0000-0000C4010000}"/>
    <cellStyle name="Milliers 8 4" xfId="453" xr:uid="{00000000-0005-0000-0000-0000C5010000}"/>
    <cellStyle name="Milliers 8 5" xfId="454" xr:uid="{00000000-0005-0000-0000-0000C6010000}"/>
    <cellStyle name="Milliers 8 6" xfId="686" xr:uid="{00000000-0005-0000-0000-0000AE020000}"/>
    <cellStyle name="Milliers 9" xfId="327" xr:uid="{00000000-0005-0000-0000-000047010000}"/>
    <cellStyle name="Milliers 9 2" xfId="455" xr:uid="{00000000-0005-0000-0000-0000C7010000}"/>
    <cellStyle name="Milliers 9 3" xfId="456" xr:uid="{00000000-0005-0000-0000-0000C8010000}"/>
    <cellStyle name="Milliers 9 3 2" xfId="457" xr:uid="{00000000-0005-0000-0000-0000C9010000}"/>
    <cellStyle name="Milliers 9 4" xfId="687" xr:uid="{00000000-0005-0000-0000-0000AF020000}"/>
    <cellStyle name="Moeda 2" xfId="156" xr:uid="{00000000-0005-0000-0000-00009C000000}"/>
    <cellStyle name="Moeda 2 2" xfId="157" xr:uid="{00000000-0005-0000-0000-00009D000000}"/>
    <cellStyle name="Moeda 3" xfId="158" xr:uid="{00000000-0005-0000-0000-00009E000000}"/>
    <cellStyle name="Moeda_CDMGv6" xfId="159" xr:uid="{00000000-0005-0000-0000-00009F000000}"/>
    <cellStyle name="Monat" xfId="160" xr:uid="{00000000-0005-0000-0000-0000A0000000}"/>
    <cellStyle name="Monétaire" xfId="817" builtinId="4"/>
    <cellStyle name="Monétaire 2" xfId="161" xr:uid="{00000000-0005-0000-0000-0000A1000000}"/>
    <cellStyle name="Monétaire 2 2" xfId="458" xr:uid="{00000000-0005-0000-0000-0000CA010000}"/>
    <cellStyle name="Monétaire 2 3" xfId="459" xr:uid="{00000000-0005-0000-0000-0000CB010000}"/>
    <cellStyle name="Monétaire 2 4" xfId="460" xr:uid="{00000000-0005-0000-0000-0000CC010000}"/>
    <cellStyle name="Monétaire 2 5" xfId="461" xr:uid="{00000000-0005-0000-0000-0000CD010000}"/>
    <cellStyle name="Monétaire 2 6" xfId="462" xr:uid="{00000000-0005-0000-0000-0000CE010000}"/>
    <cellStyle name="Monétaire 2 7" xfId="463" xr:uid="{00000000-0005-0000-0000-0000CF010000}"/>
    <cellStyle name="Monétaire 2 8" xfId="464" xr:uid="{00000000-0005-0000-0000-0000D0010000}"/>
    <cellStyle name="Monétaire 2 9" xfId="688" xr:uid="{00000000-0005-0000-0000-0000B0020000}"/>
    <cellStyle name="Monétaire 3" xfId="162" xr:uid="{00000000-0005-0000-0000-0000A2000000}"/>
    <cellStyle name="Monétaire 3 2" xfId="465" xr:uid="{00000000-0005-0000-0000-0000D1010000}"/>
    <cellStyle name="Monétaire 3 3" xfId="466" xr:uid="{00000000-0005-0000-0000-0000D2010000}"/>
    <cellStyle name="Monétaire 3 4" xfId="467" xr:uid="{00000000-0005-0000-0000-0000D3010000}"/>
    <cellStyle name="Monétaire 3 5" xfId="468" xr:uid="{00000000-0005-0000-0000-0000D4010000}"/>
    <cellStyle name="Monétaire 3 6" xfId="469" xr:uid="{00000000-0005-0000-0000-0000D5010000}"/>
    <cellStyle name="Monétaire 3 7" xfId="470" xr:uid="{00000000-0005-0000-0000-0000D6010000}"/>
    <cellStyle name="Monétaire 3 8" xfId="471" xr:uid="{00000000-0005-0000-0000-0000D7010000}"/>
    <cellStyle name="Monétaire 3 9" xfId="689" xr:uid="{00000000-0005-0000-0000-0000B1020000}"/>
    <cellStyle name="Monétaire 4" xfId="163" xr:uid="{00000000-0005-0000-0000-0000A3000000}"/>
    <cellStyle name="Monétaire 4 2" xfId="472" xr:uid="{00000000-0005-0000-0000-0000D8010000}"/>
    <cellStyle name="Monétaire 4 3" xfId="473" xr:uid="{00000000-0005-0000-0000-0000D9010000}"/>
    <cellStyle name="Monétaire 4 4" xfId="474" xr:uid="{00000000-0005-0000-0000-0000DA010000}"/>
    <cellStyle name="Monétaire 4 5" xfId="475" xr:uid="{00000000-0005-0000-0000-0000DB010000}"/>
    <cellStyle name="Monétaire 4 6" xfId="476" xr:uid="{00000000-0005-0000-0000-0000DC010000}"/>
    <cellStyle name="Monétaire 4 7" xfId="477" xr:uid="{00000000-0005-0000-0000-0000DD010000}"/>
    <cellStyle name="Monétaire 4 8" xfId="478" xr:uid="{00000000-0005-0000-0000-0000DE010000}"/>
    <cellStyle name="Monétaire 4 9" xfId="690" xr:uid="{00000000-0005-0000-0000-0000B2020000}"/>
    <cellStyle name="Monétaire 5" xfId="479" xr:uid="{00000000-0005-0000-0000-0000DF010000}"/>
    <cellStyle name="Monétaire 5 2" xfId="480" xr:uid="{00000000-0005-0000-0000-0000E0010000}"/>
    <cellStyle name="Monétaire 6" xfId="3" xr:uid="{00000000-0005-0000-0000-000003000000}"/>
    <cellStyle name="Neutral" xfId="164" xr:uid="{00000000-0005-0000-0000-0000A4000000}"/>
    <cellStyle name="Neutre 2" xfId="165" xr:uid="{00000000-0005-0000-0000-0000A5000000}"/>
    <cellStyle name="Normal" xfId="0" builtinId="0"/>
    <cellStyle name="Normal - Style1" xfId="166" xr:uid="{00000000-0005-0000-0000-0000A6000000}"/>
    <cellStyle name="Normal 10" xfId="167" xr:uid="{00000000-0005-0000-0000-0000A7000000}"/>
    <cellStyle name="Normal 10 2" xfId="38" xr:uid="{00000000-0005-0000-0000-000026000000}"/>
    <cellStyle name="Normal 10 3" xfId="481" xr:uid="{00000000-0005-0000-0000-0000E1010000}"/>
    <cellStyle name="Normal 10 3 2" xfId="482" xr:uid="{00000000-0005-0000-0000-0000E2010000}"/>
    <cellStyle name="Normal 10 3 2 2" xfId="483" xr:uid="{00000000-0005-0000-0000-0000E3010000}"/>
    <cellStyle name="Normal 10 3 3" xfId="484" xr:uid="{00000000-0005-0000-0000-0000E4010000}"/>
    <cellStyle name="Normal 10 4" xfId="485" xr:uid="{00000000-0005-0000-0000-0000E5010000}"/>
    <cellStyle name="Normal 10 4 2" xfId="486" xr:uid="{00000000-0005-0000-0000-0000E6010000}"/>
    <cellStyle name="Normal 10 4 2 2" xfId="487" xr:uid="{00000000-0005-0000-0000-0000E7010000}"/>
    <cellStyle name="Normal 10 4 3" xfId="488" xr:uid="{00000000-0005-0000-0000-0000E8010000}"/>
    <cellStyle name="Normal 10 5" xfId="489" xr:uid="{00000000-0005-0000-0000-0000E9010000}"/>
    <cellStyle name="Normal 10 5 2" xfId="490" xr:uid="{00000000-0005-0000-0000-0000EA010000}"/>
    <cellStyle name="Normal 10 5 2 2" xfId="491" xr:uid="{00000000-0005-0000-0000-0000EB010000}"/>
    <cellStyle name="Normal 10 5 3" xfId="492" xr:uid="{00000000-0005-0000-0000-0000EC010000}"/>
    <cellStyle name="Normal 10 6" xfId="493" xr:uid="{00000000-0005-0000-0000-0000ED010000}"/>
    <cellStyle name="Normal 10 6 2" xfId="494" xr:uid="{00000000-0005-0000-0000-0000EE010000}"/>
    <cellStyle name="Normal 10 7" xfId="495" xr:uid="{00000000-0005-0000-0000-0000EF010000}"/>
    <cellStyle name="Normal 10 8" xfId="496" xr:uid="{00000000-0005-0000-0000-0000F0010000}"/>
    <cellStyle name="Normal 10 9" xfId="691" xr:uid="{00000000-0005-0000-0000-0000B3020000}"/>
    <cellStyle name="Normal 11" xfId="168" xr:uid="{00000000-0005-0000-0000-0000A8000000}"/>
    <cellStyle name="Normal 11 2" xfId="169" xr:uid="{00000000-0005-0000-0000-0000A9000000}"/>
    <cellStyle name="Normal 11 3" xfId="170" xr:uid="{00000000-0005-0000-0000-0000AA000000}"/>
    <cellStyle name="Normal 11 4" xfId="171" xr:uid="{00000000-0005-0000-0000-0000AB000000}"/>
    <cellStyle name="Normal 12" xfId="172" xr:uid="{00000000-0005-0000-0000-0000AC000000}"/>
    <cellStyle name="Normal 12 2" xfId="173" xr:uid="{00000000-0005-0000-0000-0000AD000000}"/>
    <cellStyle name="Normal 12 3" xfId="174" xr:uid="{00000000-0005-0000-0000-0000AE000000}"/>
    <cellStyle name="Normal 13" xfId="175" xr:uid="{00000000-0005-0000-0000-0000AF000000}"/>
    <cellStyle name="Normal 14" xfId="176" xr:uid="{00000000-0005-0000-0000-0000B0000000}"/>
    <cellStyle name="Normal 14 2" xfId="497" xr:uid="{00000000-0005-0000-0000-0000F1010000}"/>
    <cellStyle name="Normal 14 2 2" xfId="498" xr:uid="{00000000-0005-0000-0000-0000F2010000}"/>
    <cellStyle name="Normal 14 3" xfId="499" xr:uid="{00000000-0005-0000-0000-0000F3010000}"/>
    <cellStyle name="Normal 14 4" xfId="500" xr:uid="{00000000-0005-0000-0000-0000F4010000}"/>
    <cellStyle name="Normal 15" xfId="177" xr:uid="{00000000-0005-0000-0000-0000B1000000}"/>
    <cellStyle name="Normal 16" xfId="501" xr:uid="{00000000-0005-0000-0000-0000F5010000}"/>
    <cellStyle name="Normal 17" xfId="502" xr:uid="{00000000-0005-0000-0000-0000F6010000}"/>
    <cellStyle name="Normal 18" xfId="503" xr:uid="{00000000-0005-0000-0000-0000F7010000}"/>
    <cellStyle name="Normal 18 2" xfId="504" xr:uid="{00000000-0005-0000-0000-0000F8010000}"/>
    <cellStyle name="Normal 18 2 2" xfId="505" xr:uid="{00000000-0005-0000-0000-0000F9010000}"/>
    <cellStyle name="Normal 18 3" xfId="506" xr:uid="{00000000-0005-0000-0000-0000FA010000}"/>
    <cellStyle name="Normal 19" xfId="507" xr:uid="{00000000-0005-0000-0000-0000FB010000}"/>
    <cellStyle name="Normal 2" xfId="1" xr:uid="{00000000-0005-0000-0000-000001000000}"/>
    <cellStyle name="Normal 2 10" xfId="178" xr:uid="{00000000-0005-0000-0000-0000B2000000}"/>
    <cellStyle name="Normal 2 11" xfId="179" xr:uid="{00000000-0005-0000-0000-0000B3000000}"/>
    <cellStyle name="Normal 2 12" xfId="508" xr:uid="{00000000-0005-0000-0000-0000FC010000}"/>
    <cellStyle name="Normal 2 13" xfId="706" xr:uid="{00000000-0005-0000-0000-0000C2020000}"/>
    <cellStyle name="Normal 2 14" xfId="4" xr:uid="{00000000-0005-0000-0000-000004000000}"/>
    <cellStyle name="Normal 2 2" xfId="180" xr:uid="{00000000-0005-0000-0000-0000B4000000}"/>
    <cellStyle name="Normal 2 3" xfId="181" xr:uid="{00000000-0005-0000-0000-0000B5000000}"/>
    <cellStyle name="Normal 2 4" xfId="182" xr:uid="{00000000-0005-0000-0000-0000B6000000}"/>
    <cellStyle name="Normal 2 5" xfId="183" xr:uid="{00000000-0005-0000-0000-0000B7000000}"/>
    <cellStyle name="Normal 2 6" xfId="184" xr:uid="{00000000-0005-0000-0000-0000B8000000}"/>
    <cellStyle name="Normal 2 7" xfId="185" xr:uid="{00000000-0005-0000-0000-0000B9000000}"/>
    <cellStyle name="Normal 2 7 2" xfId="186" xr:uid="{00000000-0005-0000-0000-0000BA000000}"/>
    <cellStyle name="Normal 2 7 3" xfId="187" xr:uid="{00000000-0005-0000-0000-0000BB000000}"/>
    <cellStyle name="Normal 2 7 4" xfId="188" xr:uid="{00000000-0005-0000-0000-0000BC000000}"/>
    <cellStyle name="Normal 2 8" xfId="189" xr:uid="{00000000-0005-0000-0000-0000BD000000}"/>
    <cellStyle name="Normal 2 8 2" xfId="190" xr:uid="{00000000-0005-0000-0000-0000BE000000}"/>
    <cellStyle name="Normal 2 8 3" xfId="191" xr:uid="{00000000-0005-0000-0000-0000BF000000}"/>
    <cellStyle name="Normal 2 8 4" xfId="192" xr:uid="{00000000-0005-0000-0000-0000C0000000}"/>
    <cellStyle name="Normal 2 9" xfId="193" xr:uid="{00000000-0005-0000-0000-0000C1000000}"/>
    <cellStyle name="Normal 2_GEODIS QA_NESTRADE ANSWERS" xfId="194" xr:uid="{00000000-0005-0000-0000-0000C2000000}"/>
    <cellStyle name="Normal 20" xfId="509" xr:uid="{00000000-0005-0000-0000-0000FD010000}"/>
    <cellStyle name="Normal 20 2" xfId="510" xr:uid="{00000000-0005-0000-0000-0000FE010000}"/>
    <cellStyle name="Normal 21" xfId="511" xr:uid="{00000000-0005-0000-0000-0000FF010000}"/>
    <cellStyle name="Normal 22" xfId="512" xr:uid="{00000000-0005-0000-0000-000000020000}"/>
    <cellStyle name="Normal 23" xfId="513" xr:uid="{00000000-0005-0000-0000-000001020000}"/>
    <cellStyle name="Normal 24" xfId="514" xr:uid="{00000000-0005-0000-0000-000002020000}"/>
    <cellStyle name="Normal 25" xfId="515" xr:uid="{00000000-0005-0000-0000-000003020000}"/>
    <cellStyle name="Normal 26" xfId="516" xr:uid="{00000000-0005-0000-0000-000004020000}"/>
    <cellStyle name="Normal 27" xfId="517" xr:uid="{00000000-0005-0000-0000-000005020000}"/>
    <cellStyle name="Normal 28" xfId="518" xr:uid="{00000000-0005-0000-0000-000006020000}"/>
    <cellStyle name="Normal 29" xfId="519" xr:uid="{00000000-0005-0000-0000-000007020000}"/>
    <cellStyle name="Normal 3" xfId="195" xr:uid="{00000000-0005-0000-0000-0000C3000000}"/>
    <cellStyle name="Normal 3 10" xfId="196" xr:uid="{00000000-0005-0000-0000-0000C4000000}"/>
    <cellStyle name="Normal 3 11" xfId="197" xr:uid="{00000000-0005-0000-0000-0000C5000000}"/>
    <cellStyle name="Normal 3 12" xfId="198" xr:uid="{00000000-0005-0000-0000-0000C6000000}"/>
    <cellStyle name="Normal 3 13" xfId="199" xr:uid="{00000000-0005-0000-0000-0000C7000000}"/>
    <cellStyle name="Normal 3 14" xfId="200" xr:uid="{00000000-0005-0000-0000-0000C8000000}"/>
    <cellStyle name="Normal 3 15" xfId="201" xr:uid="{00000000-0005-0000-0000-0000C9000000}"/>
    <cellStyle name="Normal 3 16" xfId="202" xr:uid="{00000000-0005-0000-0000-0000CA000000}"/>
    <cellStyle name="Normal 3 17" xfId="203" xr:uid="{00000000-0005-0000-0000-0000CB000000}"/>
    <cellStyle name="Normal 3 18" xfId="204" xr:uid="{00000000-0005-0000-0000-0000CC000000}"/>
    <cellStyle name="Normal 3 18 2" xfId="205" xr:uid="{00000000-0005-0000-0000-0000CD000000}"/>
    <cellStyle name="Normal 3 18 3" xfId="206" xr:uid="{00000000-0005-0000-0000-0000CE000000}"/>
    <cellStyle name="Normal 3 18 4" xfId="207" xr:uid="{00000000-0005-0000-0000-0000CF000000}"/>
    <cellStyle name="Normal 3 19" xfId="208" xr:uid="{00000000-0005-0000-0000-0000D0000000}"/>
    <cellStyle name="Normal 3 2" xfId="209" xr:uid="{00000000-0005-0000-0000-0000D1000000}"/>
    <cellStyle name="Normal 3 20" xfId="210" xr:uid="{00000000-0005-0000-0000-0000D2000000}"/>
    <cellStyle name="Normal 3 21" xfId="211" xr:uid="{00000000-0005-0000-0000-0000D3000000}"/>
    <cellStyle name="Normal 3 22" xfId="212" xr:uid="{00000000-0005-0000-0000-0000D4000000}"/>
    <cellStyle name="Normal 3 23" xfId="213" xr:uid="{00000000-0005-0000-0000-0000D5000000}"/>
    <cellStyle name="Normal 3 3" xfId="214" xr:uid="{00000000-0005-0000-0000-0000D6000000}"/>
    <cellStyle name="Normal 3 4" xfId="215" xr:uid="{00000000-0005-0000-0000-0000D7000000}"/>
    <cellStyle name="Normal 3 5" xfId="216" xr:uid="{00000000-0005-0000-0000-0000D8000000}"/>
    <cellStyle name="Normal 3 6" xfId="217" xr:uid="{00000000-0005-0000-0000-0000D9000000}"/>
    <cellStyle name="Normal 3 7" xfId="218" xr:uid="{00000000-0005-0000-0000-0000DA000000}"/>
    <cellStyle name="Normal 3 8" xfId="219" xr:uid="{00000000-0005-0000-0000-0000DB000000}"/>
    <cellStyle name="Normal 3 9" xfId="220" xr:uid="{00000000-0005-0000-0000-0000DC000000}"/>
    <cellStyle name="Normal 30" xfId="692" xr:uid="{00000000-0005-0000-0000-0000B4020000}"/>
    <cellStyle name="Normal 31" xfId="702" xr:uid="{00000000-0005-0000-0000-0000BE020000}"/>
    <cellStyle name="Normal 32" xfId="703" xr:uid="{00000000-0005-0000-0000-0000BF020000}"/>
    <cellStyle name="Normal 33" xfId="704" xr:uid="{00000000-0005-0000-0000-0000C0020000}"/>
    <cellStyle name="Normal 4" xfId="221" xr:uid="{00000000-0005-0000-0000-0000DD000000}"/>
    <cellStyle name="Normal 4 2" xfId="222" xr:uid="{00000000-0005-0000-0000-0000DE000000}"/>
    <cellStyle name="Normal 4 3" xfId="223" xr:uid="{00000000-0005-0000-0000-0000DF000000}"/>
    <cellStyle name="Normal 4 3 2" xfId="224" xr:uid="{00000000-0005-0000-0000-0000E0000000}"/>
    <cellStyle name="Normal 4 3 3" xfId="225" xr:uid="{00000000-0005-0000-0000-0000E1000000}"/>
    <cellStyle name="Normal 4 3 4" xfId="226" xr:uid="{00000000-0005-0000-0000-0000E2000000}"/>
    <cellStyle name="Normal 4 4" xfId="227" xr:uid="{00000000-0005-0000-0000-0000E3000000}"/>
    <cellStyle name="Normal 4 5" xfId="228" xr:uid="{00000000-0005-0000-0000-0000E4000000}"/>
    <cellStyle name="Normal 4 6" xfId="229" xr:uid="{00000000-0005-0000-0000-0000E5000000}"/>
    <cellStyle name="Normal 4 7" xfId="230" xr:uid="{00000000-0005-0000-0000-0000E6000000}"/>
    <cellStyle name="Normal 5" xfId="231" xr:uid="{00000000-0005-0000-0000-0000E7000000}"/>
    <cellStyle name="Normal 5 2" xfId="232" xr:uid="{00000000-0005-0000-0000-0000E8000000}"/>
    <cellStyle name="Normal 5 2 2" xfId="233" xr:uid="{00000000-0005-0000-0000-0000E9000000}"/>
    <cellStyle name="Normal 5 2 3" xfId="234" xr:uid="{00000000-0005-0000-0000-0000EA000000}"/>
    <cellStyle name="Normal 5 2 4" xfId="235" xr:uid="{00000000-0005-0000-0000-0000EB000000}"/>
    <cellStyle name="Normal 5 3" xfId="236" xr:uid="{00000000-0005-0000-0000-0000EC000000}"/>
    <cellStyle name="Normal 6" xfId="237" xr:uid="{00000000-0005-0000-0000-0000ED000000}"/>
    <cellStyle name="Normal 6 10" xfId="520" xr:uid="{00000000-0005-0000-0000-000008020000}"/>
    <cellStyle name="Normal 6 11" xfId="521" xr:uid="{00000000-0005-0000-0000-000009020000}"/>
    <cellStyle name="Normal 6 12" xfId="693" xr:uid="{00000000-0005-0000-0000-0000B5020000}"/>
    <cellStyle name="Normal 6 2" xfId="238" xr:uid="{00000000-0005-0000-0000-0000EE000000}"/>
    <cellStyle name="Normal 6 2 2" xfId="239" xr:uid="{00000000-0005-0000-0000-0000EF000000}"/>
    <cellStyle name="Normal 6 2 3" xfId="240" xr:uid="{00000000-0005-0000-0000-0000F0000000}"/>
    <cellStyle name="Normal 6 2 4" xfId="241" xr:uid="{00000000-0005-0000-0000-0000F1000000}"/>
    <cellStyle name="Normal 6 3" xfId="242" xr:uid="{00000000-0005-0000-0000-0000F2000000}"/>
    <cellStyle name="Normal 6 4" xfId="243" xr:uid="{00000000-0005-0000-0000-0000F3000000}"/>
    <cellStyle name="Normal 6 5" xfId="244" xr:uid="{00000000-0005-0000-0000-0000F4000000}"/>
    <cellStyle name="Normal 6 6" xfId="522" xr:uid="{00000000-0005-0000-0000-00000A020000}"/>
    <cellStyle name="Normal 6 6 2" xfId="523" xr:uid="{00000000-0005-0000-0000-00000B020000}"/>
    <cellStyle name="Normal 6 6 2 2" xfId="524" xr:uid="{00000000-0005-0000-0000-00000C020000}"/>
    <cellStyle name="Normal 6 6 3" xfId="525" xr:uid="{00000000-0005-0000-0000-00000D020000}"/>
    <cellStyle name="Normal 6 7" xfId="526" xr:uid="{00000000-0005-0000-0000-00000E020000}"/>
    <cellStyle name="Normal 6 7 2" xfId="527" xr:uid="{00000000-0005-0000-0000-00000F020000}"/>
    <cellStyle name="Normal 6 7 2 2" xfId="528" xr:uid="{00000000-0005-0000-0000-000010020000}"/>
    <cellStyle name="Normal 6 7 3" xfId="529" xr:uid="{00000000-0005-0000-0000-000011020000}"/>
    <cellStyle name="Normal 6 8" xfId="530" xr:uid="{00000000-0005-0000-0000-000012020000}"/>
    <cellStyle name="Normal 6 8 2" xfId="531" xr:uid="{00000000-0005-0000-0000-000013020000}"/>
    <cellStyle name="Normal 6 8 2 2" xfId="532" xr:uid="{00000000-0005-0000-0000-000014020000}"/>
    <cellStyle name="Normal 6 8 3" xfId="533" xr:uid="{00000000-0005-0000-0000-000015020000}"/>
    <cellStyle name="Normal 6 9" xfId="534" xr:uid="{00000000-0005-0000-0000-000016020000}"/>
    <cellStyle name="Normal 6 9 2" xfId="535" xr:uid="{00000000-0005-0000-0000-000017020000}"/>
    <cellStyle name="Normal 7" xfId="245" xr:uid="{00000000-0005-0000-0000-0000F5000000}"/>
    <cellStyle name="Normal 7 2" xfId="246" xr:uid="{00000000-0005-0000-0000-0000F6000000}"/>
    <cellStyle name="Normal 7 3" xfId="247" xr:uid="{00000000-0005-0000-0000-0000F7000000}"/>
    <cellStyle name="Normal 7 4" xfId="248" xr:uid="{00000000-0005-0000-0000-0000F8000000}"/>
    <cellStyle name="Normal 8" xfId="249" xr:uid="{00000000-0005-0000-0000-0000F9000000}"/>
    <cellStyle name="Normal 8 2" xfId="250" xr:uid="{00000000-0005-0000-0000-0000FA000000}"/>
    <cellStyle name="Normal 8 3" xfId="251" xr:uid="{00000000-0005-0000-0000-0000FB000000}"/>
    <cellStyle name="Normal 8 4" xfId="252" xr:uid="{00000000-0005-0000-0000-0000FC000000}"/>
    <cellStyle name="Normal 9" xfId="253" xr:uid="{00000000-0005-0000-0000-0000FD000000}"/>
    <cellStyle name="Normal 9 2" xfId="254" xr:uid="{00000000-0005-0000-0000-0000FE000000}"/>
    <cellStyle name="Normal 9 3" xfId="255" xr:uid="{00000000-0005-0000-0000-0000FF000000}"/>
    <cellStyle name="Normal 9 4" xfId="256" xr:uid="{00000000-0005-0000-0000-000000010000}"/>
    <cellStyle name="Normal 9 5" xfId="257" xr:uid="{00000000-0005-0000-0000-000001010000}"/>
    <cellStyle name="Normal 9 6" xfId="258" xr:uid="{00000000-0005-0000-0000-000002010000}"/>
    <cellStyle name="Normal 9 7" xfId="259" xr:uid="{00000000-0005-0000-0000-000003010000}"/>
    <cellStyle name="Normál_Storage space" xfId="260" xr:uid="{00000000-0005-0000-0000-000004010000}"/>
    <cellStyle name="Note 2" xfId="716" xr:uid="{00000000-0005-0000-0000-0000CC020000}"/>
    <cellStyle name="Note 2 2" xfId="262" xr:uid="{00000000-0005-0000-0000-000006010000}"/>
    <cellStyle name="Note 2 2 2" xfId="717" xr:uid="{00000000-0005-0000-0000-0000CD020000}"/>
    <cellStyle name="Note 2 2 2 2" xfId="762" xr:uid="{00000000-0005-0000-0000-0000FA020000}"/>
    <cellStyle name="Note 2 2 2 3" xfId="784" xr:uid="{00000000-0005-0000-0000-000010030000}"/>
    <cellStyle name="Note 2 2 2 4" xfId="802" xr:uid="{00000000-0005-0000-0000-000022030000}"/>
    <cellStyle name="Note 2 2 3" xfId="738" xr:uid="{00000000-0005-0000-0000-0000E2020000}"/>
    <cellStyle name="Note 2 3" xfId="263" xr:uid="{00000000-0005-0000-0000-000007010000}"/>
    <cellStyle name="Note 2 3 2" xfId="718" xr:uid="{00000000-0005-0000-0000-0000CE020000}"/>
    <cellStyle name="Note 2 3 2 2" xfId="763" xr:uid="{00000000-0005-0000-0000-0000FB020000}"/>
    <cellStyle name="Note 2 3 2 3" xfId="785" xr:uid="{00000000-0005-0000-0000-000011030000}"/>
    <cellStyle name="Note 2 3 2 4" xfId="803" xr:uid="{00000000-0005-0000-0000-000023030000}"/>
    <cellStyle name="Note 2 3 3" xfId="737" xr:uid="{00000000-0005-0000-0000-0000E1020000}"/>
    <cellStyle name="Note 2 4" xfId="761" xr:uid="{00000000-0005-0000-0000-0000F9020000}"/>
    <cellStyle name="Note 2 5" xfId="783" xr:uid="{00000000-0005-0000-0000-00000F030000}"/>
    <cellStyle name="Note 2 6" xfId="801" xr:uid="{00000000-0005-0000-0000-000021030000}"/>
    <cellStyle name="Note 3" xfId="739" xr:uid="{00000000-0005-0000-0000-0000E3020000}"/>
    <cellStyle name="Note 4" xfId="261" xr:uid="{00000000-0005-0000-0000-000005010000}"/>
    <cellStyle name="Notiz 2" xfId="264" xr:uid="{00000000-0005-0000-0000-000008010000}"/>
    <cellStyle name="Notiz 2 2" xfId="536" xr:uid="{00000000-0005-0000-0000-000018020000}"/>
    <cellStyle name="Notiz 2 2 2" xfId="537" xr:uid="{00000000-0005-0000-0000-000019020000}"/>
    <cellStyle name="Notiz 2 2 2 2" xfId="538" xr:uid="{00000000-0005-0000-0000-00001A020000}"/>
    <cellStyle name="Notiz 2 2 3" xfId="539" xr:uid="{00000000-0005-0000-0000-00001B020000}"/>
    <cellStyle name="Notiz 2 3" xfId="540" xr:uid="{00000000-0005-0000-0000-00001C020000}"/>
    <cellStyle name="Notiz 2 3 2" xfId="541" xr:uid="{00000000-0005-0000-0000-00001D020000}"/>
    <cellStyle name="Notiz 2 3 2 2" xfId="542" xr:uid="{00000000-0005-0000-0000-00001E020000}"/>
    <cellStyle name="Notiz 2 3 3" xfId="543" xr:uid="{00000000-0005-0000-0000-00001F020000}"/>
    <cellStyle name="Notiz 2 4" xfId="544" xr:uid="{00000000-0005-0000-0000-000020020000}"/>
    <cellStyle name="Notiz 2 4 2" xfId="545" xr:uid="{00000000-0005-0000-0000-000021020000}"/>
    <cellStyle name="Notiz 2 4 2 2" xfId="546" xr:uid="{00000000-0005-0000-0000-000022020000}"/>
    <cellStyle name="Notiz 2 4 3" xfId="547" xr:uid="{00000000-0005-0000-0000-000023020000}"/>
    <cellStyle name="Notiz 2 5" xfId="548" xr:uid="{00000000-0005-0000-0000-000024020000}"/>
    <cellStyle name="Notiz 2 5 2" xfId="549" xr:uid="{00000000-0005-0000-0000-000025020000}"/>
    <cellStyle name="Notiz 2 6" xfId="550" xr:uid="{00000000-0005-0000-0000-000026020000}"/>
    <cellStyle name="Notiz 2 7" xfId="551" xr:uid="{00000000-0005-0000-0000-000027020000}"/>
    <cellStyle name="Notiz 2 8" xfId="694" xr:uid="{00000000-0005-0000-0000-0000B6020000}"/>
    <cellStyle name="Œ…‹æØ‚è [0.00]_Region Orders (2)" xfId="265" xr:uid="{00000000-0005-0000-0000-000009010000}"/>
    <cellStyle name="Œ…‹æØ‚è_Region Orders (2)" xfId="266" xr:uid="{00000000-0005-0000-0000-00000A010000}"/>
    <cellStyle name="Output" xfId="267" xr:uid="{00000000-0005-0000-0000-00000B010000}"/>
    <cellStyle name="Output 2" xfId="719" xr:uid="{00000000-0005-0000-0000-0000CF020000}"/>
    <cellStyle name="Output 2 2" xfId="764" xr:uid="{00000000-0005-0000-0000-0000FC020000}"/>
    <cellStyle name="Output 2 3" xfId="786" xr:uid="{00000000-0005-0000-0000-000012030000}"/>
    <cellStyle name="Output 2 4" xfId="804" xr:uid="{00000000-0005-0000-0000-000024030000}"/>
    <cellStyle name="Output 3" xfId="736" xr:uid="{00000000-0005-0000-0000-0000E0020000}"/>
    <cellStyle name="per.style" xfId="268" xr:uid="{00000000-0005-0000-0000-00000C010000}"/>
    <cellStyle name="Percent [2]" xfId="269" xr:uid="{00000000-0005-0000-0000-00000D010000}"/>
    <cellStyle name="Porcentagem 2" xfId="270" xr:uid="{00000000-0005-0000-0000-00000E010000}"/>
    <cellStyle name="Porcentagem 2 2" xfId="271" xr:uid="{00000000-0005-0000-0000-00000F010000}"/>
    <cellStyle name="Porcentagem 3" xfId="272" xr:uid="{00000000-0005-0000-0000-000010010000}"/>
    <cellStyle name="Pourcentage" xfId="818" builtinId="5"/>
    <cellStyle name="Pourcentage 10" xfId="552" xr:uid="{00000000-0005-0000-0000-000028020000}"/>
    <cellStyle name="Pourcentage 10 2" xfId="553" xr:uid="{00000000-0005-0000-0000-000029020000}"/>
    <cellStyle name="Pourcentage 10 2 2" xfId="554" xr:uid="{00000000-0005-0000-0000-00002A020000}"/>
    <cellStyle name="Pourcentage 10 3" xfId="555" xr:uid="{00000000-0005-0000-0000-00002B020000}"/>
    <cellStyle name="Pourcentage 11" xfId="556" xr:uid="{00000000-0005-0000-0000-00002C020000}"/>
    <cellStyle name="Pourcentage 11 2" xfId="557" xr:uid="{00000000-0005-0000-0000-00002D020000}"/>
    <cellStyle name="Pourcentage 12" xfId="558" xr:uid="{00000000-0005-0000-0000-00002E020000}"/>
    <cellStyle name="Pourcentage 13" xfId="559" xr:uid="{00000000-0005-0000-0000-00002F020000}"/>
    <cellStyle name="Pourcentage 14" xfId="695" xr:uid="{00000000-0005-0000-0000-0000B7020000}"/>
    <cellStyle name="Pourcentage 2" xfId="2" xr:uid="{00000000-0005-0000-0000-000002000000}"/>
    <cellStyle name="Pourcentage 2 2" xfId="274" xr:uid="{00000000-0005-0000-0000-000012010000}"/>
    <cellStyle name="Pourcentage 2 3" xfId="275" xr:uid="{00000000-0005-0000-0000-000013010000}"/>
    <cellStyle name="Pourcentage 2 3 2" xfId="276" xr:uid="{00000000-0005-0000-0000-000014010000}"/>
    <cellStyle name="Pourcentage 2 4" xfId="273" xr:uid="{00000000-0005-0000-0000-000011010000}"/>
    <cellStyle name="Pourcentage 3" xfId="277" xr:uid="{00000000-0005-0000-0000-000015010000}"/>
    <cellStyle name="Pourcentage 4" xfId="278" xr:uid="{00000000-0005-0000-0000-000016010000}"/>
    <cellStyle name="Pourcentage 5" xfId="279" xr:uid="{00000000-0005-0000-0000-000017010000}"/>
    <cellStyle name="Pourcentage 6" xfId="280" xr:uid="{00000000-0005-0000-0000-000018010000}"/>
    <cellStyle name="Pourcentage 6 2" xfId="560" xr:uid="{00000000-0005-0000-0000-000030020000}"/>
    <cellStyle name="Pourcentage 6 2 2" xfId="561" xr:uid="{00000000-0005-0000-0000-000031020000}"/>
    <cellStyle name="Pourcentage 6 2 2 2" xfId="562" xr:uid="{00000000-0005-0000-0000-000032020000}"/>
    <cellStyle name="Pourcentage 6 2 3" xfId="563" xr:uid="{00000000-0005-0000-0000-000033020000}"/>
    <cellStyle name="Pourcentage 6 3" xfId="564" xr:uid="{00000000-0005-0000-0000-000034020000}"/>
    <cellStyle name="Pourcentage 6 3 2" xfId="565" xr:uid="{00000000-0005-0000-0000-000035020000}"/>
    <cellStyle name="Pourcentage 6 3 2 2" xfId="566" xr:uid="{00000000-0005-0000-0000-000036020000}"/>
    <cellStyle name="Pourcentage 6 3 3" xfId="567" xr:uid="{00000000-0005-0000-0000-000037020000}"/>
    <cellStyle name="Pourcentage 6 4" xfId="568" xr:uid="{00000000-0005-0000-0000-000038020000}"/>
    <cellStyle name="Pourcentage 6 4 2" xfId="569" xr:uid="{00000000-0005-0000-0000-000039020000}"/>
    <cellStyle name="Pourcentage 6 4 2 2" xfId="570" xr:uid="{00000000-0005-0000-0000-00003A020000}"/>
    <cellStyle name="Pourcentage 6 4 3" xfId="571" xr:uid="{00000000-0005-0000-0000-00003B020000}"/>
    <cellStyle name="Pourcentage 6 5" xfId="572" xr:uid="{00000000-0005-0000-0000-00003C020000}"/>
    <cellStyle name="Pourcentage 6 5 2" xfId="573" xr:uid="{00000000-0005-0000-0000-00003D020000}"/>
    <cellStyle name="Pourcentage 6 6" xfId="574" xr:uid="{00000000-0005-0000-0000-00003E020000}"/>
    <cellStyle name="Pourcentage 6 7" xfId="575" xr:uid="{00000000-0005-0000-0000-00003F020000}"/>
    <cellStyle name="Pourcentage 6 8" xfId="696" xr:uid="{00000000-0005-0000-0000-0000B8020000}"/>
    <cellStyle name="Pourcentage 7" xfId="281" xr:uid="{00000000-0005-0000-0000-000019010000}"/>
    <cellStyle name="Pourcentage 8" xfId="576" xr:uid="{00000000-0005-0000-0000-000040020000}"/>
    <cellStyle name="Pourcentage 9" xfId="577" xr:uid="{00000000-0005-0000-0000-000041020000}"/>
    <cellStyle name="Pourcentage 9 2" xfId="578" xr:uid="{00000000-0005-0000-0000-000042020000}"/>
    <cellStyle name="pricing" xfId="282" xr:uid="{00000000-0005-0000-0000-00001A010000}"/>
    <cellStyle name="Prozent 2" xfId="283" xr:uid="{00000000-0005-0000-0000-00001B010000}"/>
    <cellStyle name="Prozent 2 2" xfId="284" xr:uid="{00000000-0005-0000-0000-00001C010000}"/>
    <cellStyle name="Prozent 3" xfId="285" xr:uid="{00000000-0005-0000-0000-00001D010000}"/>
    <cellStyle name="Prozent 3 2" xfId="286" xr:uid="{00000000-0005-0000-0000-00001E010000}"/>
    <cellStyle name="Prozent 3 2 2" xfId="287" xr:uid="{00000000-0005-0000-0000-00001F010000}"/>
    <cellStyle name="Prozent 3 2 2 2" xfId="579" xr:uid="{00000000-0005-0000-0000-000043020000}"/>
    <cellStyle name="Prozent 3 2 2 2 2" xfId="580" xr:uid="{00000000-0005-0000-0000-000044020000}"/>
    <cellStyle name="Prozent 3 2 2 2 2 2" xfId="581" xr:uid="{00000000-0005-0000-0000-000045020000}"/>
    <cellStyle name="Prozent 3 2 2 2 3" xfId="582" xr:uid="{00000000-0005-0000-0000-000046020000}"/>
    <cellStyle name="Prozent 3 2 2 3" xfId="583" xr:uid="{00000000-0005-0000-0000-000047020000}"/>
    <cellStyle name="Prozent 3 2 2 3 2" xfId="584" xr:uid="{00000000-0005-0000-0000-000048020000}"/>
    <cellStyle name="Prozent 3 2 2 3 2 2" xfId="585" xr:uid="{00000000-0005-0000-0000-000049020000}"/>
    <cellStyle name="Prozent 3 2 2 3 3" xfId="586" xr:uid="{00000000-0005-0000-0000-00004A020000}"/>
    <cellStyle name="Prozent 3 2 2 4" xfId="587" xr:uid="{00000000-0005-0000-0000-00004B020000}"/>
    <cellStyle name="Prozent 3 2 2 4 2" xfId="588" xr:uid="{00000000-0005-0000-0000-00004C020000}"/>
    <cellStyle name="Prozent 3 2 2 4 2 2" xfId="589" xr:uid="{00000000-0005-0000-0000-00004D020000}"/>
    <cellStyle name="Prozent 3 2 2 4 3" xfId="590" xr:uid="{00000000-0005-0000-0000-00004E020000}"/>
    <cellStyle name="Prozent 3 2 2 5" xfId="591" xr:uid="{00000000-0005-0000-0000-00004F020000}"/>
    <cellStyle name="Prozent 3 2 2 5 2" xfId="592" xr:uid="{00000000-0005-0000-0000-000050020000}"/>
    <cellStyle name="Prozent 3 2 2 6" xfId="593" xr:uid="{00000000-0005-0000-0000-000051020000}"/>
    <cellStyle name="Prozent 3 2 2 7" xfId="594" xr:uid="{00000000-0005-0000-0000-000052020000}"/>
    <cellStyle name="Prozent 3 2 2 8" xfId="697" xr:uid="{00000000-0005-0000-0000-0000B9020000}"/>
    <cellStyle name="Prozent 3 2 3" xfId="595" xr:uid="{00000000-0005-0000-0000-000053020000}"/>
    <cellStyle name="Prozent 3 2 3 2" xfId="596" xr:uid="{00000000-0005-0000-0000-000054020000}"/>
    <cellStyle name="Prozent 3 2 3 2 2" xfId="597" xr:uid="{00000000-0005-0000-0000-000055020000}"/>
    <cellStyle name="Prozent 3 2 3 3" xfId="598" xr:uid="{00000000-0005-0000-0000-000056020000}"/>
    <cellStyle name="Prozent 3 2 4" xfId="599" xr:uid="{00000000-0005-0000-0000-000057020000}"/>
    <cellStyle name="Prozent 3 2 4 2" xfId="600" xr:uid="{00000000-0005-0000-0000-000058020000}"/>
    <cellStyle name="Prozent 3 2 4 2 2" xfId="601" xr:uid="{00000000-0005-0000-0000-000059020000}"/>
    <cellStyle name="Prozent 3 2 4 3" xfId="602" xr:uid="{00000000-0005-0000-0000-00005A020000}"/>
    <cellStyle name="Prozent 3 2 5" xfId="603" xr:uid="{00000000-0005-0000-0000-00005B020000}"/>
    <cellStyle name="Prozent 3 2 5 2" xfId="604" xr:uid="{00000000-0005-0000-0000-00005C020000}"/>
    <cellStyle name="Prozent 3 2 5 2 2" xfId="605" xr:uid="{00000000-0005-0000-0000-00005D020000}"/>
    <cellStyle name="Prozent 3 2 5 3" xfId="606" xr:uid="{00000000-0005-0000-0000-00005E020000}"/>
    <cellStyle name="Prozent 3 2 6" xfId="607" xr:uid="{00000000-0005-0000-0000-00005F020000}"/>
    <cellStyle name="Prozent 3 2 6 2" xfId="608" xr:uid="{00000000-0005-0000-0000-000060020000}"/>
    <cellStyle name="Prozent 3 2 7" xfId="609" xr:uid="{00000000-0005-0000-0000-000061020000}"/>
    <cellStyle name="Prozent 3 2 8" xfId="610" xr:uid="{00000000-0005-0000-0000-000062020000}"/>
    <cellStyle name="Prozent 3 2 9" xfId="698" xr:uid="{00000000-0005-0000-0000-0000BA020000}"/>
    <cellStyle name="Prozent 3 3" xfId="288" xr:uid="{00000000-0005-0000-0000-000020010000}"/>
    <cellStyle name="Prozent 4" xfId="289" xr:uid="{00000000-0005-0000-0000-000021010000}"/>
    <cellStyle name="PSHeading" xfId="290" xr:uid="{00000000-0005-0000-0000-000022010000}"/>
    <cellStyle name="SAPBEXaggData" xfId="291" xr:uid="{00000000-0005-0000-0000-000023010000}"/>
    <cellStyle name="SAPBEXaggItem" xfId="292" xr:uid="{00000000-0005-0000-0000-000024010000}"/>
    <cellStyle name="SAPBEXstdData" xfId="293" xr:uid="{00000000-0005-0000-0000-000025010000}"/>
    <cellStyle name="SAPBEXstdItem" xfId="28" xr:uid="{00000000-0005-0000-0000-00001C000000}"/>
    <cellStyle name="SAPBEXstdItem 2" xfId="611" xr:uid="{00000000-0005-0000-0000-000063020000}"/>
    <cellStyle name="SAPBEXstdItem 3" xfId="612" xr:uid="{00000000-0005-0000-0000-000064020000}"/>
    <cellStyle name="SAPBEXstdItem 3 2" xfId="730" xr:uid="{00000000-0005-0000-0000-0000DA020000}"/>
    <cellStyle name="SAPBEXstdItem 3 2 2" xfId="775" xr:uid="{00000000-0005-0000-0000-000007030000}"/>
    <cellStyle name="SAPBEXstdItem 3 2 3" xfId="792" xr:uid="{00000000-0005-0000-0000-000018030000}"/>
    <cellStyle name="SAPBEXstdItem 3 2 4" xfId="815" xr:uid="{00000000-0005-0000-0000-00002F030000}"/>
    <cellStyle name="SAPBEXstdItem 3 3" xfId="731" xr:uid="{00000000-0005-0000-0000-0000DB020000}"/>
    <cellStyle name="SAPBEXstdItem 4" xfId="708" xr:uid="{00000000-0005-0000-0000-0000C4020000}"/>
    <cellStyle name="SAPBEXstdItem 4 2" xfId="753" xr:uid="{00000000-0005-0000-0000-0000F1020000}"/>
    <cellStyle name="SAPBEXstdItem 4 3" xfId="776" xr:uid="{00000000-0005-0000-0000-000008030000}"/>
    <cellStyle name="SAPBEXstdItem 4 4" xfId="793" xr:uid="{00000000-0005-0000-0000-000019030000}"/>
    <cellStyle name="SAPBEXstdItem 5" xfId="742" xr:uid="{00000000-0005-0000-0000-0000E6020000}"/>
    <cellStyle name="Satisfaisant 2" xfId="294" xr:uid="{00000000-0005-0000-0000-000026010000}"/>
    <cellStyle name="Separador de milhares_CDMGv6" xfId="295" xr:uid="{00000000-0005-0000-0000-000027010000}"/>
    <cellStyle name="Sortie 2" xfId="296" xr:uid="{00000000-0005-0000-0000-000028010000}"/>
    <cellStyle name="Sortie 2 2" xfId="720" xr:uid="{00000000-0005-0000-0000-0000D0020000}"/>
    <cellStyle name="Sortie 2 2 2" xfId="765" xr:uid="{00000000-0005-0000-0000-0000FD020000}"/>
    <cellStyle name="Sortie 2 2 3" xfId="787" xr:uid="{00000000-0005-0000-0000-000013030000}"/>
    <cellStyle name="Sortie 2 2 4" xfId="805" xr:uid="{00000000-0005-0000-0000-000025030000}"/>
    <cellStyle name="Sortie 2 3" xfId="735" xr:uid="{00000000-0005-0000-0000-0000DF020000}"/>
    <cellStyle name="Standaard_BUDGET_2001" xfId="297" xr:uid="{00000000-0005-0000-0000-000029010000}"/>
    <cellStyle name="Standard 10" xfId="29" xr:uid="{00000000-0005-0000-0000-00001D000000}"/>
    <cellStyle name="Standard 10 2" xfId="43" xr:uid="{00000000-0005-0000-0000-00002B000000}"/>
    <cellStyle name="Standard 10 3" xfId="40" xr:uid="{00000000-0005-0000-0000-000028000000}"/>
    <cellStyle name="Standard 2" xfId="30" xr:uid="{00000000-0005-0000-0000-00001E000000}"/>
    <cellStyle name="Standard 2 2" xfId="35" xr:uid="{00000000-0005-0000-0000-000023000000}"/>
    <cellStyle name="Standard 2 2 2" xfId="44" xr:uid="{00000000-0005-0000-0000-00002C000000}"/>
    <cellStyle name="Standard 2 2 3" xfId="41" xr:uid="{00000000-0005-0000-0000-000029000000}"/>
    <cellStyle name="Standard 2 3" xfId="613" xr:uid="{00000000-0005-0000-0000-000065020000}"/>
    <cellStyle name="Standard 2 4" xfId="614" xr:uid="{00000000-0005-0000-0000-000066020000}"/>
    <cellStyle name="Standard 3" xfId="36" xr:uid="{00000000-0005-0000-0000-000024000000}"/>
    <cellStyle name="Standard 3 3" xfId="615" xr:uid="{00000000-0005-0000-0000-000067020000}"/>
    <cellStyle name="Standard 3 3 2" xfId="616" xr:uid="{00000000-0005-0000-0000-000068020000}"/>
    <cellStyle name="Standard 4" xfId="298" xr:uid="{00000000-0005-0000-0000-00002A010000}"/>
    <cellStyle name="Standard 5" xfId="299" xr:uid="{00000000-0005-0000-0000-00002B010000}"/>
    <cellStyle name="Standard 5 2" xfId="300" xr:uid="{00000000-0005-0000-0000-00002C010000}"/>
    <cellStyle name="Standard 5 2 2" xfId="617" xr:uid="{00000000-0005-0000-0000-000069020000}"/>
    <cellStyle name="Standard 5 2 2 2" xfId="618" xr:uid="{00000000-0005-0000-0000-00006A020000}"/>
    <cellStyle name="Standard 5 2 2 2 2" xfId="619" xr:uid="{00000000-0005-0000-0000-00006B020000}"/>
    <cellStyle name="Standard 5 2 2 3" xfId="620" xr:uid="{00000000-0005-0000-0000-00006C020000}"/>
    <cellStyle name="Standard 5 2 3" xfId="621" xr:uid="{00000000-0005-0000-0000-00006D020000}"/>
    <cellStyle name="Standard 5 2 3 2" xfId="622" xr:uid="{00000000-0005-0000-0000-00006E020000}"/>
    <cellStyle name="Standard 5 2 3 2 2" xfId="623" xr:uid="{00000000-0005-0000-0000-00006F020000}"/>
    <cellStyle name="Standard 5 2 3 3" xfId="624" xr:uid="{00000000-0005-0000-0000-000070020000}"/>
    <cellStyle name="Standard 5 2 4" xfId="625" xr:uid="{00000000-0005-0000-0000-000071020000}"/>
    <cellStyle name="Standard 5 2 4 2" xfId="626" xr:uid="{00000000-0005-0000-0000-000072020000}"/>
    <cellStyle name="Standard 5 2 4 2 2" xfId="627" xr:uid="{00000000-0005-0000-0000-000073020000}"/>
    <cellStyle name="Standard 5 2 4 3" xfId="628" xr:uid="{00000000-0005-0000-0000-000074020000}"/>
    <cellStyle name="Standard 5 2 5" xfId="629" xr:uid="{00000000-0005-0000-0000-000075020000}"/>
    <cellStyle name="Standard 5 2 5 2" xfId="630" xr:uid="{00000000-0005-0000-0000-000076020000}"/>
    <cellStyle name="Standard 5 2 6" xfId="631" xr:uid="{00000000-0005-0000-0000-000077020000}"/>
    <cellStyle name="Standard 5 2 7" xfId="632" xr:uid="{00000000-0005-0000-0000-000078020000}"/>
    <cellStyle name="Standard 5 2 8" xfId="699" xr:uid="{00000000-0005-0000-0000-0000BB020000}"/>
    <cellStyle name="Standard 5 3" xfId="633" xr:uid="{00000000-0005-0000-0000-000079020000}"/>
    <cellStyle name="Standard 5 3 2" xfId="634" xr:uid="{00000000-0005-0000-0000-00007A020000}"/>
    <cellStyle name="Standard 5 3 2 2" xfId="635" xr:uid="{00000000-0005-0000-0000-00007B020000}"/>
    <cellStyle name="Standard 5 3 3" xfId="636" xr:uid="{00000000-0005-0000-0000-00007C020000}"/>
    <cellStyle name="Standard 5 4" xfId="637" xr:uid="{00000000-0005-0000-0000-00007D020000}"/>
    <cellStyle name="Standard 5 4 2" xfId="638" xr:uid="{00000000-0005-0000-0000-00007E020000}"/>
    <cellStyle name="Standard 5 4 2 2" xfId="639" xr:uid="{00000000-0005-0000-0000-00007F020000}"/>
    <cellStyle name="Standard 5 4 3" xfId="640" xr:uid="{00000000-0005-0000-0000-000080020000}"/>
    <cellStyle name="Standard 5 5" xfId="641" xr:uid="{00000000-0005-0000-0000-000081020000}"/>
    <cellStyle name="Standard 5 5 2" xfId="642" xr:uid="{00000000-0005-0000-0000-000082020000}"/>
    <cellStyle name="Standard 5 5 2 2" xfId="643" xr:uid="{00000000-0005-0000-0000-000083020000}"/>
    <cellStyle name="Standard 5 5 3" xfId="644" xr:uid="{00000000-0005-0000-0000-000084020000}"/>
    <cellStyle name="Standard 5 6" xfId="645" xr:uid="{00000000-0005-0000-0000-000085020000}"/>
    <cellStyle name="Standard 5 6 2" xfId="646" xr:uid="{00000000-0005-0000-0000-000086020000}"/>
    <cellStyle name="Standard 5 7" xfId="647" xr:uid="{00000000-0005-0000-0000-000087020000}"/>
    <cellStyle name="Standard 5 8" xfId="648" xr:uid="{00000000-0005-0000-0000-000088020000}"/>
    <cellStyle name="Standard 5 9" xfId="700" xr:uid="{00000000-0005-0000-0000-0000BC020000}"/>
    <cellStyle name="Standard 6" xfId="31" xr:uid="{00000000-0005-0000-0000-00001F000000}"/>
    <cellStyle name="Standard 6 2" xfId="649" xr:uid="{00000000-0005-0000-0000-000089020000}"/>
    <cellStyle name="Standard 6 2 2" xfId="650" xr:uid="{00000000-0005-0000-0000-00008A020000}"/>
    <cellStyle name="Standard 6 2 2 2" xfId="651" xr:uid="{00000000-0005-0000-0000-00008B020000}"/>
    <cellStyle name="Standard 6 2 3" xfId="652" xr:uid="{00000000-0005-0000-0000-00008C020000}"/>
    <cellStyle name="Standard 6 3" xfId="653" xr:uid="{00000000-0005-0000-0000-00008D020000}"/>
    <cellStyle name="Standard 6 3 2" xfId="654" xr:uid="{00000000-0005-0000-0000-00008E020000}"/>
    <cellStyle name="Standard 6 3 2 2" xfId="655" xr:uid="{00000000-0005-0000-0000-00008F020000}"/>
    <cellStyle name="Standard 6 3 3" xfId="656" xr:uid="{00000000-0005-0000-0000-000090020000}"/>
    <cellStyle name="Standard 6 4" xfId="657" xr:uid="{00000000-0005-0000-0000-000091020000}"/>
    <cellStyle name="Standard 6 4 2" xfId="658" xr:uid="{00000000-0005-0000-0000-000092020000}"/>
    <cellStyle name="Standard 6 4 2 2" xfId="659" xr:uid="{00000000-0005-0000-0000-000093020000}"/>
    <cellStyle name="Standard 6 4 3" xfId="660" xr:uid="{00000000-0005-0000-0000-000094020000}"/>
    <cellStyle name="Standard 6 5" xfId="661" xr:uid="{00000000-0005-0000-0000-000095020000}"/>
    <cellStyle name="Standard 6 5 2" xfId="662" xr:uid="{00000000-0005-0000-0000-000096020000}"/>
    <cellStyle name="Standard 6 6" xfId="663" xr:uid="{00000000-0005-0000-0000-000097020000}"/>
    <cellStyle name="Standard 6 7" xfId="664" xr:uid="{00000000-0005-0000-0000-000098020000}"/>
    <cellStyle name="Standard 6 8" xfId="665" xr:uid="{00000000-0005-0000-0000-000099020000}"/>
    <cellStyle name="Standard 6 9" xfId="701" xr:uid="{00000000-0005-0000-0000-0000BD020000}"/>
    <cellStyle name="Standard 7" xfId="301" xr:uid="{00000000-0005-0000-0000-00002D010000}"/>
    <cellStyle name="Stil 1" xfId="32" xr:uid="{00000000-0005-0000-0000-000020000000}"/>
    <cellStyle name="Stil 1 2" xfId="666" xr:uid="{00000000-0005-0000-0000-00009A020000}"/>
    <cellStyle name="Stil 1 3" xfId="667" xr:uid="{00000000-0005-0000-0000-00009B020000}"/>
    <cellStyle name="TD.Daten" xfId="302" xr:uid="{00000000-0005-0000-0000-00002E010000}"/>
    <cellStyle name="TD.Daten 2" xfId="721" xr:uid="{00000000-0005-0000-0000-0000D1020000}"/>
    <cellStyle name="TD.Daten 2 2" xfId="766" xr:uid="{00000000-0005-0000-0000-0000FE020000}"/>
    <cellStyle name="TD.Daten 2 3" xfId="806" xr:uid="{00000000-0005-0000-0000-000026030000}"/>
    <cellStyle name="TD.Daten 3" xfId="727" xr:uid="{00000000-0005-0000-0000-0000D7020000}"/>
    <cellStyle name="TD.Daten 3 2" xfId="772" xr:uid="{00000000-0005-0000-0000-000004030000}"/>
    <cellStyle name="TD.Daten 3 3" xfId="812" xr:uid="{00000000-0005-0000-0000-00002C030000}"/>
    <cellStyle name="TD.Daten 4" xfId="741" xr:uid="{00000000-0005-0000-0000-0000E5020000}"/>
    <cellStyle name="TD.Hintergrund" xfId="303" xr:uid="{00000000-0005-0000-0000-00002F010000}"/>
    <cellStyle name="TD.KopfDaten" xfId="304" xr:uid="{00000000-0005-0000-0000-000030010000}"/>
    <cellStyle name="TD.KopfDaten 2" xfId="722" xr:uid="{00000000-0005-0000-0000-0000D2020000}"/>
    <cellStyle name="TD.KopfDaten 2 2" xfId="767" xr:uid="{00000000-0005-0000-0000-0000FF020000}"/>
    <cellStyle name="TD.KopfDaten 2 3" xfId="807" xr:uid="{00000000-0005-0000-0000-000027030000}"/>
    <cellStyle name="TD.KopfDaten 3" xfId="726" xr:uid="{00000000-0005-0000-0000-0000D6020000}"/>
    <cellStyle name="TD.KopfDaten 3 2" xfId="771" xr:uid="{00000000-0005-0000-0000-000003030000}"/>
    <cellStyle name="TD.KopfDaten 3 3" xfId="811" xr:uid="{00000000-0005-0000-0000-00002B030000}"/>
    <cellStyle name="TD.KopfDaten 4" xfId="743" xr:uid="{00000000-0005-0000-0000-0000E7020000}"/>
    <cellStyle name="TD.ListeC" xfId="305" xr:uid="{00000000-0005-0000-0000-000031010000}"/>
    <cellStyle name="TD.ListeN" xfId="306" xr:uid="{00000000-0005-0000-0000-000032010000}"/>
    <cellStyle name="TD.Titel" xfId="307" xr:uid="{00000000-0005-0000-0000-000033010000}"/>
    <cellStyle name="TD.Titel 2" xfId="744" xr:uid="{00000000-0005-0000-0000-0000E8020000}"/>
    <cellStyle name="TD.Titel 3" xfId="751" xr:uid="{00000000-0005-0000-0000-0000EF020000}"/>
    <cellStyle name="TD.UnterTitel" xfId="308" xr:uid="{00000000-0005-0000-0000-000034010000}"/>
    <cellStyle name="Texte explicatif 2" xfId="309" xr:uid="{00000000-0005-0000-0000-000035010000}"/>
    <cellStyle name="Titel" xfId="310" xr:uid="{00000000-0005-0000-0000-000036010000}"/>
    <cellStyle name="Titel 2" xfId="723" xr:uid="{00000000-0005-0000-0000-0000D3020000}"/>
    <cellStyle name="Titel 2 2" xfId="768" xr:uid="{00000000-0005-0000-0000-000000030000}"/>
    <cellStyle name="Titel 2 3" xfId="788" xr:uid="{00000000-0005-0000-0000-000014030000}"/>
    <cellStyle name="Titel 2 4" xfId="808" xr:uid="{00000000-0005-0000-0000-000028030000}"/>
    <cellStyle name="Titel 3" xfId="747" xr:uid="{00000000-0005-0000-0000-0000EB020000}"/>
    <cellStyle name="Title" xfId="311" xr:uid="{00000000-0005-0000-0000-000037010000}"/>
    <cellStyle name="Titre 2" xfId="312" xr:uid="{00000000-0005-0000-0000-000038010000}"/>
    <cellStyle name="Titre 1 2" xfId="313" xr:uid="{00000000-0005-0000-0000-000039010000}"/>
    <cellStyle name="Titre 2 2" xfId="314" xr:uid="{00000000-0005-0000-0000-00003A010000}"/>
    <cellStyle name="Titre 3 2" xfId="315" xr:uid="{00000000-0005-0000-0000-00003B010000}"/>
    <cellStyle name="Titre 4 2" xfId="316" xr:uid="{00000000-0005-0000-0000-00003C010000}"/>
    <cellStyle name="Total 2" xfId="317" xr:uid="{00000000-0005-0000-0000-00003D010000}"/>
    <cellStyle name="Total 2 2" xfId="724" xr:uid="{00000000-0005-0000-0000-0000D4020000}"/>
    <cellStyle name="Total 2 2 2" xfId="769" xr:uid="{00000000-0005-0000-0000-000001030000}"/>
    <cellStyle name="Total 2 2 3" xfId="789" xr:uid="{00000000-0005-0000-0000-000015030000}"/>
    <cellStyle name="Total 2 2 4" xfId="809" xr:uid="{00000000-0005-0000-0000-000029030000}"/>
    <cellStyle name="Total 2 3" xfId="746" xr:uid="{00000000-0005-0000-0000-0000EA020000}"/>
    <cellStyle name="Total 3" xfId="318" xr:uid="{00000000-0005-0000-0000-00003E010000}"/>
    <cellStyle name="Total 3 2" xfId="725" xr:uid="{00000000-0005-0000-0000-0000D5020000}"/>
    <cellStyle name="Total 3 2 2" xfId="770" xr:uid="{00000000-0005-0000-0000-000002030000}"/>
    <cellStyle name="Total 3 2 3" xfId="790" xr:uid="{00000000-0005-0000-0000-000016030000}"/>
    <cellStyle name="Total 3 2 4" xfId="810" xr:uid="{00000000-0005-0000-0000-00002A030000}"/>
    <cellStyle name="Total 3 3" xfId="734" xr:uid="{00000000-0005-0000-0000-0000DE020000}"/>
    <cellStyle name="Tusental (0)_pldt" xfId="319" xr:uid="{00000000-0005-0000-0000-00003F010000}"/>
    <cellStyle name="Tusental_pldt" xfId="320" xr:uid="{00000000-0005-0000-0000-000040010000}"/>
    <cellStyle name="Valuta (0)_1997 YTD AGO WELCOME" xfId="321" xr:uid="{00000000-0005-0000-0000-000041010000}"/>
    <cellStyle name="Vérification 2" xfId="322" xr:uid="{00000000-0005-0000-0000-000042010000}"/>
    <cellStyle name="Vírgula 2" xfId="323" xr:uid="{00000000-0005-0000-0000-000043010000}"/>
    <cellStyle name="Vírgula 2 2" xfId="324" xr:uid="{00000000-0005-0000-0000-000044010000}"/>
    <cellStyle name="Vírgula 3" xfId="325" xr:uid="{00000000-0005-0000-0000-000045010000}"/>
    <cellStyle name="Währung 2" xfId="326" xr:uid="{00000000-0005-0000-0000-000046010000}"/>
    <cellStyle name="Währung 2 2" xfId="668" xr:uid="{00000000-0005-0000-0000-00009C020000}"/>
    <cellStyle name="Währung 2 3" xfId="669" xr:uid="{00000000-0005-0000-0000-00009D020000}"/>
    <cellStyle name="Währung 2 4" xfId="670" xr:uid="{00000000-0005-0000-0000-00009E020000}"/>
    <cellStyle name="Währung 2 5" xfId="671" xr:uid="{00000000-0005-0000-0000-00009F020000}"/>
  </cellStyles>
  <dxfs count="2">
    <dxf>
      <font>
        <color rgb="FF006100"/>
      </font>
      <fill>
        <patternFill>
          <bgColor rgb="FFC6EFCE"/>
        </patternFill>
      </fill>
    </dxf>
    <dxf>
      <font>
        <color rgb="FF9C0006"/>
      </font>
      <fill>
        <patternFill>
          <bgColor rgb="FFFFC7CE"/>
        </patternFill>
      </fill>
    </dxf>
  </dxfs>
  <tableStyles count="2" defaultTableStyle="TableStyleMedium2" defaultPivotStyle="PivotStyleLight16">
    <tableStyle name="MySqlDefault" pivot="0" table="0" count="0" xr9:uid="{00000000-0011-0000-FFFF-FFFF00000000}"/>
    <tableStyle name="Table Style 1" pivot="0" count="0" xr9:uid="{00000000-0011-0000-FFFF-FFFF01000000}"/>
  </tableStyles>
  <colors>
    <indexedColors>
      <rgbColor rgb="FF000000"/>
      <rgbColor rgb="FFFFFFFF"/>
      <rgbColor rgb="FFE8001D"/>
      <rgbColor rgb="FF00FF00"/>
      <rgbColor rgb="FF0000FF"/>
      <rgbColor rgb="FFFFFF00"/>
      <rgbColor rgb="FFFF00FF"/>
      <rgbColor rgb="FF00FFFF"/>
      <rgbColor rgb="FF800000"/>
      <rgbColor rgb="FF1A7F3C"/>
      <rgbColor rgb="FF000080"/>
      <rgbColor rgb="FF808000"/>
      <rgbColor rgb="FF800080"/>
      <rgbColor rgb="FF008080"/>
      <rgbColor rgb="FFC0C0C0"/>
      <rgbColor rgb="FF808080"/>
      <rgbColor rgb="FF9999FF"/>
      <rgbColor rgb="FF993366"/>
      <rgbColor rgb="FFFFF9C4"/>
      <rgbColor rgb="FFE8F5EE"/>
      <rgbColor rgb="FF660066"/>
      <rgbColor rgb="FFFF8080"/>
      <rgbColor rgb="FF0066CC"/>
      <rgbColor rgb="FFD0D5E8"/>
      <rgbColor rgb="FF000080"/>
      <rgbColor rgb="FFFF00FF"/>
      <rgbColor rgb="FFFFFF00"/>
      <rgbColor rgb="FF00FFFF"/>
      <rgbColor rgb="FF800080"/>
      <rgbColor rgb="FF800000"/>
      <rgbColor rgb="FF008080"/>
      <rgbColor rgb="FF0000FF"/>
      <rgbColor rgb="FF00CCFF"/>
      <rgbColor rgb="FFE3E8F8"/>
      <rgbColor rgb="FFF0F2F8"/>
      <rgbColor rgb="FFFFF3E0"/>
      <rgbColor rgb="FF99CCFF"/>
      <rgbColor rgb="FFFF99CC"/>
      <rgbColor rgb="FFCC99FF"/>
      <rgbColor rgb="FFEEF0FC"/>
      <rgbColor rgb="FF3366FF"/>
      <rgbColor rgb="FF33CCCC"/>
      <rgbColor rgb="FF99CC00"/>
      <rgbColor rgb="FFFFCC00"/>
      <rgbColor rgb="FFFF9900"/>
      <rgbColor rgb="FFFF6600"/>
      <rgbColor rgb="FF5A6170"/>
      <rgbColor rgb="FF8A91A8"/>
      <rgbColor rgb="FF1B2A5E"/>
      <rgbColor rgb="FF339966"/>
      <rgbColor rgb="FF003300"/>
      <rgbColor rgb="FF333300"/>
      <rgbColor rgb="FF993300"/>
      <rgbColor rgb="FF993366"/>
      <rgbColor rgb="FF1A1FC8"/>
      <rgbColor rgb="FF2C2C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doutriaux\Downloads\RFQ_Closed_Book_v2.0_DC_FR_IDL_Farmasort%2020260311.xlsm" TargetMode="External"/><Relationship Id="rId1" Type="http://schemas.openxmlformats.org/officeDocument/2006/relationships/externalLinkPath" Target="file:///C:\Users\pdoutriaux\Downloads\RFQ_Closed_Book_v2.0_DC_FR_IDL_Farmasort%2020260311.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LiaisonExterneR&#233;cup&#233;r&#233;e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amp;Glossary"/>
      <sheetName val="Monthly Forecast"/>
      <sheetName val="Weekly Rampup"/>
      <sheetName val="BRS"/>
      <sheetName val="Flow structure"/>
      <sheetName val="Product Profile"/>
      <sheetName val="Top 100 Inv Units"/>
      <sheetName val="Top 100 shipped untis"/>
      <sheetName val="Hazmat ASIN Sample"/>
      <sheetName val="1. Tender Profile"/>
      <sheetName val="2. Key engineering assumptions"/>
      <sheetName val="3a. Engineering Layout"/>
      <sheetName val="3b. Storage Expenses"/>
      <sheetName val="3d. Productivities"/>
      <sheetName val="3e. Organigram"/>
      <sheetName val="VDE Requirements"/>
      <sheetName val="6. Comments"/>
      <sheetName val="Fixed Cost Monthly Schedule_FX"/>
      <sheetName val="Monthly Budget_tech"/>
      <sheetName val="Savings Mapping"/>
      <sheetName val="Version Control"/>
      <sheetName val="Scmetrics_Upload"/>
      <sheetName val="Upload Savings"/>
      <sheetName val="Savings Adhoc Upload"/>
      <sheetName val="Mapping Tables"/>
      <sheetName val="Upload Contract"/>
      <sheetName val="12.(Hide) Lists"/>
      <sheetName val="Upload Contract Fixed"/>
      <sheetName val="Upload Fixed Scenario"/>
      <sheetName val="Upload Variable Scenario"/>
      <sheetName val="Upload Contract Variable Rates"/>
    </sheetNames>
    <sheetDataSet>
      <sheetData sheetId="0"/>
      <sheetData sheetId="1">
        <row r="2">
          <cell r="C2">
            <v>46273</v>
          </cell>
        </row>
      </sheetData>
      <sheetData sheetId="2"/>
      <sheetData sheetId="3"/>
      <sheetData sheetId="4">
        <row r="5">
          <cell r="E5">
            <v>0.6</v>
          </cell>
        </row>
        <row r="6">
          <cell r="E6">
            <v>0.3</v>
          </cell>
        </row>
        <row r="7">
          <cell r="E7">
            <v>0.05</v>
          </cell>
        </row>
        <row r="8">
          <cell r="E8">
            <v>5.0000000000000044E-2</v>
          </cell>
        </row>
        <row r="23">
          <cell r="E23">
            <v>0.7</v>
          </cell>
        </row>
        <row r="30">
          <cell r="E30">
            <v>41.222222222222221</v>
          </cell>
        </row>
        <row r="69">
          <cell r="E69">
            <v>0</v>
          </cell>
        </row>
        <row r="70">
          <cell r="E70">
            <v>0.54666666666666663</v>
          </cell>
        </row>
        <row r="71">
          <cell r="E71">
            <v>0.82</v>
          </cell>
        </row>
        <row r="72">
          <cell r="E72">
            <v>0.82</v>
          </cell>
        </row>
        <row r="73">
          <cell r="E73">
            <v>0.82</v>
          </cell>
        </row>
        <row r="74">
          <cell r="E74">
            <v>0.82</v>
          </cell>
        </row>
        <row r="75">
          <cell r="E75">
            <v>0</v>
          </cell>
        </row>
        <row r="76">
          <cell r="E76">
            <v>1</v>
          </cell>
        </row>
        <row r="86">
          <cell r="E86">
            <v>0.2</v>
          </cell>
        </row>
        <row r="87">
          <cell r="E87">
            <v>0.8</v>
          </cell>
        </row>
      </sheetData>
      <sheetData sheetId="5"/>
      <sheetData sheetId="6"/>
      <sheetData sheetId="7"/>
      <sheetData sheetId="8"/>
      <sheetData sheetId="9">
        <row r="16">
          <cell r="C16">
            <v>2026</v>
          </cell>
        </row>
      </sheetData>
      <sheetData sheetId="10">
        <row r="5">
          <cell r="K5">
            <v>45524.768758277889</v>
          </cell>
          <cell r="L5">
            <v>45524.768758277889</v>
          </cell>
          <cell r="M5">
            <v>45524.768758277889</v>
          </cell>
          <cell r="N5">
            <v>45524.768758277889</v>
          </cell>
          <cell r="O5">
            <v>0</v>
          </cell>
          <cell r="P5">
            <v>0</v>
          </cell>
        </row>
      </sheetData>
      <sheetData sheetId="11">
        <row r="25">
          <cell r="Q25">
            <v>49959</v>
          </cell>
          <cell r="AD25">
            <v>49959</v>
          </cell>
          <cell r="AQ25">
            <v>49959</v>
          </cell>
          <cell r="BD25">
            <v>49959</v>
          </cell>
          <cell r="BQ25">
            <v>0</v>
          </cell>
          <cell r="CD25">
            <v>0</v>
          </cell>
        </row>
      </sheetData>
      <sheetData sheetId="12"/>
      <sheetData sheetId="13">
        <row r="13">
          <cell r="E13">
            <v>25.012800501459168</v>
          </cell>
          <cell r="F13">
            <v>25.012800501459168</v>
          </cell>
          <cell r="G13">
            <v>25.061063301108085</v>
          </cell>
          <cell r="H13">
            <v>25.063787359952677</v>
          </cell>
          <cell r="I13"/>
          <cell r="J13"/>
        </row>
        <row r="14">
          <cell r="E14">
            <v>139.42307692307693</v>
          </cell>
          <cell r="F14">
            <v>139.42307692307691</v>
          </cell>
          <cell r="G14">
            <v>139.42307692307693</v>
          </cell>
          <cell r="H14">
            <v>139.42307692307693</v>
          </cell>
          <cell r="I14"/>
          <cell r="J14"/>
        </row>
        <row r="15">
          <cell r="E15">
            <v>168.26923076923077</v>
          </cell>
          <cell r="F15">
            <v>168.26923076923077</v>
          </cell>
          <cell r="G15">
            <v>168.26923076923077</v>
          </cell>
          <cell r="H15">
            <v>168.26923076923077</v>
          </cell>
          <cell r="I15"/>
          <cell r="J15"/>
        </row>
        <row r="33">
          <cell r="E33">
            <v>26.440572898354961</v>
          </cell>
          <cell r="F33">
            <v>26.440572898354958</v>
          </cell>
          <cell r="G33">
            <v>26.440572898354951</v>
          </cell>
          <cell r="H33">
            <v>26.440572898354954</v>
          </cell>
          <cell r="I33"/>
          <cell r="J33"/>
        </row>
        <row r="34">
          <cell r="E34">
            <v>139.42307692307691</v>
          </cell>
          <cell r="F34">
            <v>139.42307692307691</v>
          </cell>
          <cell r="G34">
            <v>139.42307692307691</v>
          </cell>
          <cell r="H34">
            <v>139.42307692307693</v>
          </cell>
          <cell r="I34"/>
          <cell r="J34"/>
        </row>
        <row r="35">
          <cell r="E35">
            <v>168.26923076923075</v>
          </cell>
          <cell r="F35">
            <v>168.26923076923077</v>
          </cell>
          <cell r="G35">
            <v>168.26923076923077</v>
          </cell>
          <cell r="H35">
            <v>168.26923076923075</v>
          </cell>
          <cell r="I35"/>
          <cell r="J35"/>
        </row>
        <row r="45">
          <cell r="E45">
            <v>278.84615384615387</v>
          </cell>
          <cell r="F45">
            <v>278.84615384615387</v>
          </cell>
          <cell r="G45">
            <v>278.84615384615381</v>
          </cell>
          <cell r="H45">
            <v>278.84615384615381</v>
          </cell>
          <cell r="I45"/>
          <cell r="J45"/>
        </row>
        <row r="46">
          <cell r="E46">
            <v>169.23076923076925</v>
          </cell>
          <cell r="F46">
            <v>169.23076923076923</v>
          </cell>
          <cell r="G46">
            <v>169.23076923076923</v>
          </cell>
          <cell r="H46">
            <v>169.23076923076923</v>
          </cell>
          <cell r="I46"/>
          <cell r="J46"/>
        </row>
        <row r="47">
          <cell r="E47">
            <v>69.230769230769241</v>
          </cell>
          <cell r="F47">
            <v>69.230769230769226</v>
          </cell>
          <cell r="G47">
            <v>69.230769230769226</v>
          </cell>
          <cell r="H47">
            <v>69.230769230769241</v>
          </cell>
          <cell r="I47"/>
          <cell r="J47"/>
        </row>
        <row r="48">
          <cell r="E48"/>
          <cell r="F48"/>
          <cell r="G48"/>
          <cell r="H48"/>
          <cell r="I48"/>
          <cell r="J48"/>
        </row>
        <row r="49">
          <cell r="E49">
            <v>278.84615384615387</v>
          </cell>
          <cell r="F49">
            <v>1153.8461538461538</v>
          </cell>
          <cell r="G49">
            <v>1153.8461538461538</v>
          </cell>
          <cell r="H49">
            <v>1153.846153846154</v>
          </cell>
          <cell r="I49"/>
          <cell r="J49"/>
        </row>
        <row r="50">
          <cell r="E50">
            <v>169.23076923076925</v>
          </cell>
          <cell r="F50">
            <v>1057.6923076923076</v>
          </cell>
          <cell r="G50">
            <v>1057.6923076923076</v>
          </cell>
          <cell r="H50">
            <v>1057.6923076923076</v>
          </cell>
          <cell r="I50"/>
          <cell r="J50"/>
        </row>
        <row r="51">
          <cell r="E51">
            <v>69.230769230769241</v>
          </cell>
          <cell r="F51">
            <v>817.30769230769238</v>
          </cell>
          <cell r="G51">
            <v>817.30769230769226</v>
          </cell>
          <cell r="H51">
            <v>817.30769230769226</v>
          </cell>
          <cell r="I51"/>
          <cell r="J51"/>
        </row>
        <row r="52">
          <cell r="E52"/>
          <cell r="F52"/>
          <cell r="G52"/>
          <cell r="H52"/>
          <cell r="I52"/>
          <cell r="J52"/>
        </row>
        <row r="53">
          <cell r="E53">
            <v>278.84615384615387</v>
          </cell>
          <cell r="F53">
            <v>1153.8461538461538</v>
          </cell>
          <cell r="G53">
            <v>1153.8461538461538</v>
          </cell>
          <cell r="H53">
            <v>1153.846153846154</v>
          </cell>
          <cell r="I53"/>
          <cell r="J53"/>
        </row>
        <row r="54">
          <cell r="E54">
            <v>169.23076923076925</v>
          </cell>
          <cell r="F54">
            <v>1057.6923076923076</v>
          </cell>
          <cell r="G54">
            <v>1057.6923076923076</v>
          </cell>
          <cell r="H54">
            <v>1057.6923076923076</v>
          </cell>
          <cell r="I54"/>
          <cell r="J54"/>
        </row>
        <row r="55">
          <cell r="E55">
            <v>69.230769230769241</v>
          </cell>
          <cell r="F55">
            <v>817.30769230769238</v>
          </cell>
          <cell r="G55">
            <v>817.30769230769226</v>
          </cell>
          <cell r="H55">
            <v>817.30769230769226</v>
          </cell>
          <cell r="I55"/>
          <cell r="J55"/>
        </row>
        <row r="56">
          <cell r="E56"/>
          <cell r="F56"/>
          <cell r="G56"/>
          <cell r="H56"/>
          <cell r="I56"/>
          <cell r="J56"/>
        </row>
        <row r="64">
          <cell r="E64">
            <v>50.607287449392707</v>
          </cell>
          <cell r="F64">
            <v>50.6072874493927</v>
          </cell>
          <cell r="G64">
            <v>50.607287449392722</v>
          </cell>
          <cell r="H64">
            <v>50.607287449392707</v>
          </cell>
          <cell r="I64"/>
          <cell r="J64"/>
        </row>
        <row r="65">
          <cell r="E65">
            <v>62.500000000000014</v>
          </cell>
          <cell r="F65">
            <v>62.500000000000007</v>
          </cell>
          <cell r="G65">
            <v>62.500000000000007</v>
          </cell>
          <cell r="H65">
            <v>62.499999999999993</v>
          </cell>
          <cell r="I65"/>
          <cell r="J65"/>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1"/>
      <sheetName val="O2"/>
      <sheetName val="O5"/>
      <sheetName val="O6"/>
      <sheetName val="SDL"/>
      <sheetName val="Capa"/>
    </sheetNames>
    <sheetDataSet>
      <sheetData sheetId="0">
        <row r="13">
          <cell r="D13">
            <v>1</v>
          </cell>
          <cell r="E13">
            <v>1</v>
          </cell>
          <cell r="F13">
            <v>1</v>
          </cell>
          <cell r="G13">
            <v>1</v>
          </cell>
          <cell r="H13">
            <v>1</v>
          </cell>
        </row>
        <row r="14">
          <cell r="D14">
            <v>5</v>
          </cell>
          <cell r="E14">
            <v>5</v>
          </cell>
          <cell r="F14">
            <v>5</v>
          </cell>
          <cell r="G14">
            <v>4</v>
          </cell>
          <cell r="H14">
            <v>3</v>
          </cell>
          <cell r="I14">
            <v>0</v>
          </cell>
          <cell r="J14">
            <v>0</v>
          </cell>
        </row>
        <row r="15">
          <cell r="D15">
            <v>2</v>
          </cell>
          <cell r="E15">
            <v>2</v>
          </cell>
          <cell r="F15">
            <v>2</v>
          </cell>
          <cell r="G15">
            <v>2</v>
          </cell>
          <cell r="H15">
            <v>2</v>
          </cell>
        </row>
        <row r="16">
          <cell r="D16">
            <v>0</v>
          </cell>
          <cell r="E16">
            <v>0</v>
          </cell>
          <cell r="F16">
            <v>0</v>
          </cell>
          <cell r="G16">
            <v>0</v>
          </cell>
          <cell r="H16">
            <v>0</v>
          </cell>
          <cell r="I16">
            <v>0</v>
          </cell>
          <cell r="J16">
            <v>0</v>
          </cell>
        </row>
        <row r="17">
          <cell r="D17">
            <v>92</v>
          </cell>
          <cell r="E17">
            <v>92</v>
          </cell>
          <cell r="F17">
            <v>92</v>
          </cell>
          <cell r="G17">
            <v>93</v>
          </cell>
          <cell r="H17">
            <v>94</v>
          </cell>
          <cell r="I17">
            <v>0</v>
          </cell>
          <cell r="J17">
            <v>0</v>
          </cell>
        </row>
      </sheetData>
      <sheetData sheetId="1">
        <row r="13">
          <cell r="D13">
            <v>5</v>
          </cell>
          <cell r="E13">
            <v>5</v>
          </cell>
          <cell r="F13">
            <v>5</v>
          </cell>
          <cell r="G13">
            <v>5</v>
          </cell>
          <cell r="H13">
            <v>5</v>
          </cell>
        </row>
        <row r="14">
          <cell r="D14">
            <v>0</v>
          </cell>
          <cell r="E14">
            <v>2</v>
          </cell>
          <cell r="F14">
            <v>7</v>
          </cell>
          <cell r="G14">
            <v>1</v>
          </cell>
          <cell r="H14">
            <v>5</v>
          </cell>
          <cell r="I14">
            <v>0</v>
          </cell>
          <cell r="J14">
            <v>0</v>
          </cell>
        </row>
        <row r="15">
          <cell r="D15">
            <v>0</v>
          </cell>
          <cell r="E15">
            <v>1</v>
          </cell>
          <cell r="F15">
            <v>0</v>
          </cell>
          <cell r="G15">
            <v>2</v>
          </cell>
          <cell r="H15">
            <v>0</v>
          </cell>
        </row>
        <row r="16">
          <cell r="D16">
            <v>1</v>
          </cell>
          <cell r="E16">
            <v>1</v>
          </cell>
          <cell r="F16">
            <v>1</v>
          </cell>
          <cell r="G16">
            <v>1</v>
          </cell>
          <cell r="H16">
            <v>1</v>
          </cell>
        </row>
        <row r="17">
          <cell r="D17">
            <v>96</v>
          </cell>
          <cell r="E17">
            <v>93</v>
          </cell>
          <cell r="F17">
            <v>89</v>
          </cell>
          <cell r="G17">
            <v>93</v>
          </cell>
          <cell r="H17">
            <v>91</v>
          </cell>
          <cell r="I17">
            <v>0</v>
          </cell>
          <cell r="J17">
            <v>0</v>
          </cell>
        </row>
      </sheetData>
      <sheetData sheetId="2">
        <row r="13">
          <cell r="D13">
            <v>0</v>
          </cell>
          <cell r="E13">
            <v>0</v>
          </cell>
          <cell r="F13">
            <v>0</v>
          </cell>
          <cell r="G13">
            <v>0</v>
          </cell>
          <cell r="H13">
            <v>0</v>
          </cell>
          <cell r="I13">
            <v>0</v>
          </cell>
          <cell r="J13">
            <v>0</v>
          </cell>
        </row>
        <row r="14">
          <cell r="D14">
            <v>0</v>
          </cell>
          <cell r="E14">
            <v>0</v>
          </cell>
          <cell r="F14">
            <v>0</v>
          </cell>
          <cell r="G14">
            <v>0</v>
          </cell>
          <cell r="H14">
            <v>0</v>
          </cell>
          <cell r="I14">
            <v>0</v>
          </cell>
          <cell r="J14">
            <v>0</v>
          </cell>
        </row>
        <row r="15">
          <cell r="D15">
            <v>0</v>
          </cell>
          <cell r="E15">
            <v>0</v>
          </cell>
          <cell r="F15">
            <v>0</v>
          </cell>
          <cell r="G15">
            <v>0</v>
          </cell>
          <cell r="H15">
            <v>0</v>
          </cell>
          <cell r="I15">
            <v>0</v>
          </cell>
          <cell r="J15">
            <v>0</v>
          </cell>
        </row>
        <row r="16">
          <cell r="D16">
            <v>0</v>
          </cell>
          <cell r="E16">
            <v>0</v>
          </cell>
          <cell r="F16">
            <v>0</v>
          </cell>
          <cell r="G16">
            <v>0</v>
          </cell>
          <cell r="H16">
            <v>0</v>
          </cell>
          <cell r="I16">
            <v>0</v>
          </cell>
          <cell r="J16">
            <v>0</v>
          </cell>
        </row>
        <row r="17">
          <cell r="D17">
            <v>0</v>
          </cell>
          <cell r="E17">
            <v>0</v>
          </cell>
          <cell r="F17">
            <v>0</v>
          </cell>
          <cell r="G17">
            <v>0</v>
          </cell>
          <cell r="H17">
            <v>0</v>
          </cell>
          <cell r="I17">
            <v>0</v>
          </cell>
          <cell r="J17">
            <v>0</v>
          </cell>
        </row>
      </sheetData>
      <sheetData sheetId="3">
        <row r="13">
          <cell r="D13">
            <v>0</v>
          </cell>
          <cell r="E13">
            <v>0</v>
          </cell>
          <cell r="F13">
            <v>0</v>
          </cell>
          <cell r="G13">
            <v>0</v>
          </cell>
          <cell r="H13">
            <v>0</v>
          </cell>
          <cell r="I13">
            <v>0</v>
          </cell>
          <cell r="J13">
            <v>0</v>
          </cell>
        </row>
        <row r="14">
          <cell r="D14">
            <v>0</v>
          </cell>
          <cell r="E14">
            <v>0</v>
          </cell>
          <cell r="F14">
            <v>0</v>
          </cell>
          <cell r="G14">
            <v>0</v>
          </cell>
          <cell r="H14">
            <v>0</v>
          </cell>
          <cell r="I14">
            <v>0</v>
          </cell>
          <cell r="J14">
            <v>0</v>
          </cell>
        </row>
        <row r="15">
          <cell r="D15">
            <v>0</v>
          </cell>
          <cell r="E15">
            <v>0</v>
          </cell>
          <cell r="F15">
            <v>0</v>
          </cell>
          <cell r="G15">
            <v>0</v>
          </cell>
          <cell r="H15">
            <v>0</v>
          </cell>
          <cell r="I15">
            <v>0</v>
          </cell>
          <cell r="J15">
            <v>0</v>
          </cell>
        </row>
        <row r="16">
          <cell r="D16">
            <v>0</v>
          </cell>
          <cell r="E16">
            <v>0</v>
          </cell>
          <cell r="F16">
            <v>0</v>
          </cell>
          <cell r="G16">
            <v>0</v>
          </cell>
          <cell r="H16">
            <v>0</v>
          </cell>
          <cell r="I16">
            <v>0</v>
          </cell>
          <cell r="J16">
            <v>0</v>
          </cell>
        </row>
        <row r="17">
          <cell r="D17">
            <v>0</v>
          </cell>
          <cell r="E17">
            <v>0</v>
          </cell>
          <cell r="F17">
            <v>0</v>
          </cell>
          <cell r="G17">
            <v>0</v>
          </cell>
          <cell r="H17">
            <v>0</v>
          </cell>
          <cell r="I17">
            <v>0</v>
          </cell>
          <cell r="J17">
            <v>0</v>
          </cell>
        </row>
      </sheetData>
      <sheetData sheetId="4">
        <row r="13">
          <cell r="I13">
            <v>0</v>
          </cell>
          <cell r="J13">
            <v>0</v>
          </cell>
        </row>
        <row r="14">
          <cell r="D14">
            <v>1</v>
          </cell>
          <cell r="E14">
            <v>0</v>
          </cell>
          <cell r="I14">
            <v>2</v>
          </cell>
          <cell r="J14">
            <v>2</v>
          </cell>
        </row>
        <row r="15">
          <cell r="D15">
            <v>2</v>
          </cell>
          <cell r="E15">
            <v>4</v>
          </cell>
          <cell r="I15">
            <v>0</v>
          </cell>
          <cell r="J15">
            <v>0</v>
          </cell>
        </row>
        <row r="16">
          <cell r="D16">
            <v>4</v>
          </cell>
          <cell r="E16">
            <v>3</v>
          </cell>
          <cell r="I16">
            <v>7</v>
          </cell>
          <cell r="J16">
            <v>7</v>
          </cell>
        </row>
        <row r="17">
          <cell r="D17">
            <v>36</v>
          </cell>
          <cell r="E17">
            <v>29</v>
          </cell>
          <cell r="F17">
            <v>0</v>
          </cell>
          <cell r="G17">
            <v>0</v>
          </cell>
          <cell r="H17">
            <v>0</v>
          </cell>
          <cell r="I17">
            <v>70</v>
          </cell>
          <cell r="J17">
            <v>70</v>
          </cell>
        </row>
      </sheetData>
      <sheetData sheetId="5"/>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9042BBF-77DF-42D0-B3CC-76B5935DDFFD}">
  <we:reference id="wa200009404" version="1.0.0.8" store="en-US" storeType="OMEX"/>
  <we:alternateReferences>
    <we:reference id="WA200009404" version="1.0.0.8" store="" storeType="OMEX"/>
  </we:alternateReferences>
  <we:properties>
    <we:property name="claude.fileId" value="&quot;7e72eff7-a2b8-49aa-9098-675096d52735&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
  <sheetViews>
    <sheetView showGridLines="0" topLeftCell="A8" zoomScaleNormal="100" workbookViewId="0">
      <selection activeCell="H12" sqref="H12"/>
    </sheetView>
  </sheetViews>
  <sheetFormatPr baseColWidth="10" defaultColWidth="8.6640625" defaultRowHeight="14.4"/>
  <cols>
    <col min="1" max="1" width="22" customWidth="1"/>
    <col min="2" max="2" width="36" customWidth="1"/>
    <col min="3" max="3" width="13" customWidth="1"/>
    <col min="4" max="4" width="14" customWidth="1"/>
    <col min="5" max="5" width="10" customWidth="1"/>
    <col min="6" max="6" width="13" customWidth="1"/>
    <col min="7" max="7" width="28" customWidth="1"/>
  </cols>
  <sheetData>
    <row r="1" spans="1:7" ht="30" customHeight="1">
      <c r="A1" s="446" t="s">
        <v>0</v>
      </c>
      <c r="B1" s="447"/>
      <c r="C1" s="447"/>
      <c r="D1" s="447"/>
      <c r="E1" s="447"/>
      <c r="F1" s="447"/>
      <c r="G1" s="447"/>
    </row>
    <row r="2" spans="1:7" ht="13.5" customHeight="1">
      <c r="A2" s="448" t="s">
        <v>1</v>
      </c>
      <c r="B2" s="447"/>
      <c r="C2" s="447"/>
      <c r="D2" s="447"/>
      <c r="E2" s="447"/>
      <c r="F2" s="447"/>
      <c r="G2" s="447"/>
    </row>
    <row r="4" spans="1:7" ht="16.5" customHeight="1">
      <c r="A4" s="2" t="s">
        <v>2</v>
      </c>
      <c r="B4" s="3">
        <v>371</v>
      </c>
      <c r="C4" s="4" t="s">
        <v>3</v>
      </c>
    </row>
    <row r="5" spans="1:7" ht="16.5" customHeight="1">
      <c r="A5" s="2" t="s">
        <v>4</v>
      </c>
      <c r="B5" s="3">
        <v>9</v>
      </c>
      <c r="C5" s="4" t="s">
        <v>5</v>
      </c>
    </row>
    <row r="6" spans="1:7" ht="16.5" customHeight="1">
      <c r="A6" s="2" t="s">
        <v>6</v>
      </c>
      <c r="B6" s="3">
        <v>41.2</v>
      </c>
      <c r="C6" s="4" t="s">
        <v>7</v>
      </c>
    </row>
    <row r="8" spans="1:7" ht="19.5" customHeight="1">
      <c r="A8" s="5" t="s">
        <v>8</v>
      </c>
      <c r="B8" s="5" t="s">
        <v>9</v>
      </c>
      <c r="C8" s="5" t="s">
        <v>10</v>
      </c>
      <c r="D8" s="5" t="s">
        <v>11</v>
      </c>
      <c r="E8" s="5" t="s">
        <v>12</v>
      </c>
      <c r="F8" s="5" t="s">
        <v>13</v>
      </c>
      <c r="G8" s="5" t="s">
        <v>14</v>
      </c>
    </row>
    <row r="9" spans="1:7" ht="15.75" customHeight="1">
      <c r="A9" s="6" t="s">
        <v>15</v>
      </c>
      <c r="B9" s="6" t="s">
        <v>16</v>
      </c>
      <c r="C9" s="7">
        <v>25.01</v>
      </c>
      <c r="D9" s="6" t="s">
        <v>17</v>
      </c>
      <c r="E9" s="7">
        <v>371</v>
      </c>
      <c r="F9" s="8">
        <v>9279</v>
      </c>
      <c r="G9" s="6" t="s">
        <v>18</v>
      </c>
    </row>
    <row r="10" spans="1:7" ht="15.75" customHeight="1">
      <c r="A10" s="6" t="s">
        <v>15</v>
      </c>
      <c r="B10" s="6" t="s">
        <v>19</v>
      </c>
      <c r="C10" s="7">
        <v>139.41999999999999</v>
      </c>
      <c r="D10" s="6" t="s">
        <v>20</v>
      </c>
      <c r="E10" s="7">
        <v>9</v>
      </c>
      <c r="F10" s="8">
        <v>1255</v>
      </c>
      <c r="G10" s="6" t="s">
        <v>21</v>
      </c>
    </row>
    <row r="11" spans="1:7" ht="15.75" customHeight="1">
      <c r="A11" s="6" t="s">
        <v>15</v>
      </c>
      <c r="B11" s="6" t="s">
        <v>22</v>
      </c>
      <c r="C11" s="7">
        <v>168.27</v>
      </c>
      <c r="D11" s="6" t="s">
        <v>20</v>
      </c>
      <c r="E11" s="7">
        <v>9</v>
      </c>
      <c r="F11" s="8">
        <v>1514</v>
      </c>
      <c r="G11" s="6" t="s">
        <v>21</v>
      </c>
    </row>
    <row r="12" spans="1:7" ht="15.75" customHeight="1">
      <c r="A12" s="9" t="s">
        <v>23</v>
      </c>
      <c r="B12" s="9" t="s">
        <v>24</v>
      </c>
      <c r="C12" s="10">
        <v>438</v>
      </c>
      <c r="D12" s="9" t="s">
        <v>20</v>
      </c>
      <c r="E12" s="10">
        <v>9</v>
      </c>
      <c r="F12" s="11">
        <v>3942</v>
      </c>
      <c r="G12" s="9" t="s">
        <v>21</v>
      </c>
    </row>
    <row r="13" spans="1:7" ht="15.75" customHeight="1">
      <c r="A13" s="9" t="s">
        <v>23</v>
      </c>
      <c r="B13" s="9" t="s">
        <v>25</v>
      </c>
      <c r="C13" s="10">
        <v>31</v>
      </c>
      <c r="D13" s="9" t="s">
        <v>17</v>
      </c>
      <c r="E13" s="10">
        <v>371</v>
      </c>
      <c r="F13" s="11">
        <v>11501</v>
      </c>
      <c r="G13" s="9" t="s">
        <v>18</v>
      </c>
    </row>
    <row r="14" spans="1:7" ht="15.75" customHeight="1">
      <c r="A14" s="9" t="s">
        <v>23</v>
      </c>
      <c r="B14" s="9" t="s">
        <v>26</v>
      </c>
      <c r="C14" s="10">
        <v>70</v>
      </c>
      <c r="D14" s="9" t="s">
        <v>20</v>
      </c>
      <c r="E14" s="10">
        <v>9</v>
      </c>
      <c r="F14" s="11">
        <v>630</v>
      </c>
      <c r="G14" s="9" t="s">
        <v>21</v>
      </c>
    </row>
    <row r="15" spans="1:7" ht="15.75" customHeight="1">
      <c r="A15" s="9" t="s">
        <v>23</v>
      </c>
      <c r="B15" s="9" t="s">
        <v>27</v>
      </c>
      <c r="C15" s="10">
        <v>204.81</v>
      </c>
      <c r="D15" s="9" t="s">
        <v>28</v>
      </c>
      <c r="E15" s="10">
        <v>1</v>
      </c>
      <c r="F15" s="11">
        <v>205</v>
      </c>
      <c r="G15" s="9" t="s">
        <v>29</v>
      </c>
    </row>
    <row r="16" spans="1:7" ht="15.75" customHeight="1">
      <c r="A16" s="9" t="s">
        <v>23</v>
      </c>
      <c r="B16" s="9" t="s">
        <v>30</v>
      </c>
      <c r="C16" s="10">
        <v>115.38</v>
      </c>
      <c r="D16" s="9" t="s">
        <v>28</v>
      </c>
      <c r="E16" s="10">
        <v>1</v>
      </c>
      <c r="F16" s="11">
        <v>115</v>
      </c>
      <c r="G16" s="9" t="s">
        <v>29</v>
      </c>
    </row>
    <row r="17" spans="1:7" ht="15.75" customHeight="1">
      <c r="A17" s="9" t="s">
        <v>23</v>
      </c>
      <c r="B17" s="9" t="s">
        <v>31</v>
      </c>
      <c r="C17" s="10">
        <v>70.19</v>
      </c>
      <c r="D17" s="9" t="s">
        <v>28</v>
      </c>
      <c r="E17" s="10">
        <v>1</v>
      </c>
      <c r="F17" s="11">
        <v>70</v>
      </c>
      <c r="G17" s="9" t="s">
        <v>29</v>
      </c>
    </row>
    <row r="18" spans="1:7" ht="15.75" customHeight="1">
      <c r="A18" s="9" t="s">
        <v>23</v>
      </c>
      <c r="B18" s="9" t="s">
        <v>32</v>
      </c>
      <c r="C18" s="10">
        <v>120.19</v>
      </c>
      <c r="D18" s="9" t="s">
        <v>28</v>
      </c>
      <c r="E18" s="10">
        <v>1</v>
      </c>
      <c r="F18" s="11">
        <v>120</v>
      </c>
      <c r="G18" s="9" t="s">
        <v>29</v>
      </c>
    </row>
    <row r="19" spans="1:7" ht="15.75" customHeight="1">
      <c r="A19" s="9" t="s">
        <v>23</v>
      </c>
      <c r="B19" s="9" t="s">
        <v>33</v>
      </c>
      <c r="C19" s="10">
        <v>79.81</v>
      </c>
      <c r="D19" s="9" t="s">
        <v>28</v>
      </c>
      <c r="E19" s="10">
        <v>1</v>
      </c>
      <c r="F19" s="11">
        <v>80</v>
      </c>
      <c r="G19" s="9" t="s">
        <v>29</v>
      </c>
    </row>
    <row r="20" spans="1:7" ht="15.75" customHeight="1">
      <c r="A20" s="9" t="s">
        <v>23</v>
      </c>
      <c r="B20" s="9" t="s">
        <v>34</v>
      </c>
      <c r="C20" s="10">
        <v>59.62</v>
      </c>
      <c r="D20" s="9" t="s">
        <v>28</v>
      </c>
      <c r="E20" s="10">
        <v>1</v>
      </c>
      <c r="F20" s="11">
        <v>60</v>
      </c>
      <c r="G20" s="9" t="s">
        <v>29</v>
      </c>
    </row>
    <row r="21" spans="1:7" ht="15.75" customHeight="1">
      <c r="A21" s="12" t="s">
        <v>35</v>
      </c>
      <c r="B21" s="12" t="s">
        <v>36</v>
      </c>
      <c r="C21" s="13">
        <v>65.38</v>
      </c>
      <c r="D21" s="12" t="s">
        <v>20</v>
      </c>
      <c r="E21" s="13">
        <v>9</v>
      </c>
      <c r="F21" s="14">
        <v>588</v>
      </c>
      <c r="G21" s="12" t="s">
        <v>21</v>
      </c>
    </row>
    <row r="22" spans="1:7" ht="15.75" customHeight="1">
      <c r="A22" s="12" t="s">
        <v>35</v>
      </c>
      <c r="B22" s="12" t="s">
        <v>37</v>
      </c>
      <c r="C22" s="13">
        <v>20.190000000000001</v>
      </c>
      <c r="D22" s="12" t="s">
        <v>17</v>
      </c>
      <c r="E22" s="13">
        <v>371</v>
      </c>
      <c r="F22" s="14">
        <v>7490</v>
      </c>
      <c r="G22" s="12" t="s">
        <v>18</v>
      </c>
    </row>
    <row r="23" spans="1:7" ht="15.75" customHeight="1">
      <c r="A23" s="15" t="s">
        <v>38</v>
      </c>
      <c r="B23" s="15" t="s">
        <v>39</v>
      </c>
      <c r="C23" s="16">
        <v>15</v>
      </c>
      <c r="D23" s="15" t="s">
        <v>17</v>
      </c>
      <c r="E23" s="16">
        <v>371</v>
      </c>
      <c r="F23" s="17">
        <v>5565</v>
      </c>
      <c r="G23" s="15" t="s">
        <v>18</v>
      </c>
    </row>
    <row r="24" spans="1:7" ht="15.75" customHeight="1">
      <c r="A24" s="15" t="s">
        <v>38</v>
      </c>
      <c r="B24" s="15" t="s">
        <v>40</v>
      </c>
      <c r="C24" s="16">
        <v>92</v>
      </c>
      <c r="D24" s="15" t="s">
        <v>20</v>
      </c>
      <c r="E24" s="16">
        <v>9</v>
      </c>
      <c r="F24" s="17">
        <v>828</v>
      </c>
      <c r="G24" s="15" t="s">
        <v>21</v>
      </c>
    </row>
    <row r="26" spans="1:7" ht="21.75" customHeight="1">
      <c r="A26" s="449" t="s">
        <v>41</v>
      </c>
      <c r="B26" s="447"/>
      <c r="C26" s="447"/>
      <c r="D26" s="447"/>
    </row>
    <row r="27" spans="1:7" ht="24" customHeight="1">
      <c r="A27" s="18" t="s">
        <v>42</v>
      </c>
      <c r="B27" s="19">
        <v>432.9</v>
      </c>
      <c r="C27" s="20" t="s">
        <v>43</v>
      </c>
      <c r="D27" s="1" t="e">
        <v>#N/A</v>
      </c>
    </row>
  </sheetData>
  <mergeCells count="3">
    <mergeCell ref="A1:G1"/>
    <mergeCell ref="A2:G2"/>
    <mergeCell ref="A26:D2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3"/>
  <sheetViews>
    <sheetView showGridLines="0" tabSelected="1" zoomScale="85" zoomScaleNormal="85" workbookViewId="0">
      <pane ySplit="11" topLeftCell="A35" activePane="bottomLeft" state="frozen"/>
      <selection pane="bottomLeft" activeCell="I37" sqref="I37"/>
    </sheetView>
  </sheetViews>
  <sheetFormatPr baseColWidth="10" defaultColWidth="8.88671875" defaultRowHeight="14.4"/>
  <cols>
    <col min="1" max="1" width="16" customWidth="1"/>
    <col min="2" max="2" width="40" customWidth="1"/>
    <col min="3" max="3" width="9" customWidth="1"/>
    <col min="4" max="4" width="13" customWidth="1"/>
    <col min="5" max="5" width="8" customWidth="1"/>
    <col min="6" max="6" width="12" customWidth="1"/>
    <col min="7" max="7" width="10" customWidth="1"/>
    <col min="8" max="8" width="13.109375" bestFit="1" customWidth="1"/>
    <col min="9" max="9" width="16.33203125" bestFit="1" customWidth="1"/>
    <col min="10" max="10" width="42" customWidth="1"/>
    <col min="11" max="12" width="12" bestFit="1" customWidth="1"/>
    <col min="13" max="13" width="10" bestFit="1" customWidth="1"/>
  </cols>
  <sheetData>
    <row r="1" spans="1:16" ht="30" customHeight="1">
      <c r="A1" s="452" t="s">
        <v>44</v>
      </c>
      <c r="B1" s="447"/>
      <c r="C1" s="447"/>
      <c r="D1" s="447"/>
      <c r="E1" s="447"/>
      <c r="F1" s="447"/>
      <c r="G1" s="447"/>
      <c r="H1" s="447"/>
      <c r="I1" s="447"/>
      <c r="J1" s="447"/>
      <c r="K1" s="447"/>
      <c r="L1" s="447"/>
      <c r="M1" s="447"/>
      <c r="N1" s="447"/>
      <c r="O1" s="447"/>
      <c r="P1" s="447"/>
    </row>
    <row r="2" spans="1:16" ht="13.95" customHeight="1">
      <c r="A2" s="464" t="s">
        <v>548</v>
      </c>
      <c r="B2" s="447"/>
      <c r="C2" s="447"/>
      <c r="D2" s="447"/>
      <c r="E2" s="447"/>
      <c r="F2" s="447"/>
      <c r="G2" s="447"/>
      <c r="H2" s="447"/>
      <c r="I2" s="447"/>
      <c r="J2" s="447"/>
      <c r="K2" s="447"/>
      <c r="L2" s="447"/>
      <c r="M2" s="447"/>
      <c r="N2" s="447"/>
      <c r="O2" s="447"/>
      <c r="P2" s="447"/>
    </row>
    <row r="3" spans="1:16" ht="6" customHeight="1"/>
    <row r="4" spans="1:16" ht="18" customHeight="1">
      <c r="A4" s="465" t="s">
        <v>45</v>
      </c>
      <c r="B4" s="447"/>
    </row>
    <row r="5" spans="1:16" ht="16.95" customHeight="1">
      <c r="A5" s="100" t="s">
        <v>46</v>
      </c>
      <c r="B5" s="101">
        <v>371</v>
      </c>
      <c r="C5" s="102" t="s">
        <v>3</v>
      </c>
    </row>
    <row r="6" spans="1:16" ht="16.95" customHeight="1">
      <c r="A6" s="100" t="s">
        <v>47</v>
      </c>
      <c r="B6" s="101">
        <v>9</v>
      </c>
      <c r="C6" s="102" t="s">
        <v>5</v>
      </c>
    </row>
    <row r="7" spans="1:16" ht="16.95" customHeight="1">
      <c r="A7" s="100" t="s">
        <v>48</v>
      </c>
      <c r="B7" s="101">
        <v>41.2</v>
      </c>
      <c r="C7" s="102" t="s">
        <v>7</v>
      </c>
    </row>
    <row r="8" spans="1:16" ht="7.95" customHeight="1"/>
    <row r="9" spans="1:16" ht="18" customHeight="1">
      <c r="A9" s="453" t="s">
        <v>549</v>
      </c>
      <c r="B9" s="447"/>
      <c r="C9" s="447"/>
      <c r="D9" s="447"/>
      <c r="E9" s="447"/>
      <c r="F9" s="447"/>
      <c r="G9" s="447"/>
      <c r="H9" s="447"/>
      <c r="I9" s="447"/>
      <c r="J9" s="447"/>
      <c r="K9" s="447"/>
      <c r="L9" s="447"/>
      <c r="M9" s="447"/>
      <c r="N9" s="447"/>
      <c r="O9" s="447"/>
      <c r="P9" s="447"/>
    </row>
    <row r="10" spans="1:16" ht="7.95" customHeight="1"/>
    <row r="11" spans="1:16" ht="22.05" customHeight="1">
      <c r="A11" s="466" t="s">
        <v>49</v>
      </c>
      <c r="B11" s="447"/>
      <c r="C11" s="447"/>
      <c r="D11" s="447"/>
      <c r="E11" s="447"/>
      <c r="F11" s="447"/>
      <c r="G11" s="447"/>
      <c r="H11" s="447"/>
      <c r="I11" s="447"/>
      <c r="J11" s="447"/>
      <c r="K11" s="447"/>
      <c r="L11" s="447"/>
      <c r="M11" s="447"/>
      <c r="N11" s="447"/>
      <c r="O11" s="447"/>
      <c r="P11" s="447"/>
    </row>
    <row r="12" spans="1:16" ht="36" customHeight="1">
      <c r="A12" s="103" t="s">
        <v>8</v>
      </c>
      <c r="B12" s="103" t="s">
        <v>50</v>
      </c>
      <c r="C12" s="103" t="s">
        <v>51</v>
      </c>
      <c r="D12" s="103" t="s">
        <v>52</v>
      </c>
      <c r="E12" s="103" t="s">
        <v>550</v>
      </c>
      <c r="F12" s="103" t="s">
        <v>551</v>
      </c>
      <c r="G12" s="103" t="s">
        <v>541</v>
      </c>
      <c r="H12" s="103" t="s">
        <v>54</v>
      </c>
      <c r="I12" s="103" t="s">
        <v>552</v>
      </c>
      <c r="J12" s="103" t="s">
        <v>55</v>
      </c>
      <c r="K12" s="103" t="s">
        <v>543</v>
      </c>
    </row>
    <row r="13" spans="1:16" ht="16.05" customHeight="1">
      <c r="A13" s="104" t="s">
        <v>15</v>
      </c>
      <c r="B13" s="105" t="s">
        <v>56</v>
      </c>
      <c r="C13" s="106" t="s">
        <v>17</v>
      </c>
      <c r="D13" s="107">
        <v>25.012801</v>
      </c>
      <c r="E13" s="108">
        <f>$B$7</f>
        <v>41.2</v>
      </c>
      <c r="F13" s="109">
        <f>D13*E13</f>
        <v>1030.5274012</v>
      </c>
      <c r="G13" s="110">
        <v>0.9</v>
      </c>
      <c r="H13" s="111">
        <v>1</v>
      </c>
      <c r="I13" s="157">
        <f>IF(F13&gt;0,(1000*G13*H13)/F13,0)</f>
        <v>0.87333922315116796</v>
      </c>
      <c r="J13" s="112" t="s">
        <v>57</v>
      </c>
      <c r="K13">
        <f>(F13*G13*H13)/$P$13</f>
        <v>0.92747466107999998</v>
      </c>
      <c r="P13">
        <v>1000</v>
      </c>
    </row>
    <row r="14" spans="1:16" ht="16.05" customHeight="1">
      <c r="A14" s="104" t="s">
        <v>15</v>
      </c>
      <c r="B14" s="105" t="s">
        <v>58</v>
      </c>
      <c r="C14" s="106" t="s">
        <v>20</v>
      </c>
      <c r="D14" s="107">
        <v>139.42307700000001</v>
      </c>
      <c r="E14" s="108">
        <v>1</v>
      </c>
      <c r="F14" s="109">
        <f t="shared" ref="F14:F30" si="0">D14*E14</f>
        <v>139.42307700000001</v>
      </c>
      <c r="G14" s="110">
        <v>0.05</v>
      </c>
      <c r="H14" s="111">
        <v>1</v>
      </c>
      <c r="I14" s="157">
        <f t="shared" ref="I14:I28" si="1">IF(F14&gt;0,(1000*G14*H14)/F14,0)</f>
        <v>0.35862068945731268</v>
      </c>
      <c r="J14" s="112" t="s">
        <v>59</v>
      </c>
      <c r="K14">
        <f t="shared" ref="K14:K30" si="2">(F14*G14*H14)/$P$13</f>
        <v>6.97115385E-3</v>
      </c>
    </row>
    <row r="15" spans="1:16" ht="16.05" customHeight="1">
      <c r="A15" s="104" t="s">
        <v>15</v>
      </c>
      <c r="B15" s="105" t="s">
        <v>60</v>
      </c>
      <c r="C15" s="106" t="s">
        <v>20</v>
      </c>
      <c r="D15" s="107">
        <v>168.26923099999999</v>
      </c>
      <c r="E15" s="108">
        <v>1</v>
      </c>
      <c r="F15" s="109">
        <f t="shared" si="0"/>
        <v>168.26923099999999</v>
      </c>
      <c r="G15" s="110">
        <v>0.05</v>
      </c>
      <c r="H15" s="111">
        <v>1</v>
      </c>
      <c r="I15" s="157">
        <f t="shared" si="1"/>
        <v>0.29714285673534696</v>
      </c>
      <c r="J15" s="112" t="s">
        <v>61</v>
      </c>
      <c r="K15">
        <f t="shared" si="2"/>
        <v>8.4134615499999992E-3</v>
      </c>
    </row>
    <row r="16" spans="1:16" ht="16.05" customHeight="1">
      <c r="A16" s="113" t="s">
        <v>23</v>
      </c>
      <c r="B16" s="114" t="s">
        <v>62</v>
      </c>
      <c r="C16" s="106" t="s">
        <v>17</v>
      </c>
      <c r="D16" s="107">
        <v>30.769231000000001</v>
      </c>
      <c r="E16" s="108">
        <f>$B$7</f>
        <v>41.2</v>
      </c>
      <c r="F16" s="115">
        <f t="shared" si="0"/>
        <v>1267.6923172000002</v>
      </c>
      <c r="G16" s="110">
        <v>0.6</v>
      </c>
      <c r="H16" s="111">
        <v>0.99</v>
      </c>
      <c r="I16" s="158">
        <f t="shared" si="1"/>
        <v>0.46856795765078879</v>
      </c>
      <c r="J16" s="112" t="s">
        <v>63</v>
      </c>
      <c r="K16">
        <f t="shared" si="2"/>
        <v>0.75300923641680007</v>
      </c>
    </row>
    <row r="17" spans="1:16" ht="16.05" customHeight="1">
      <c r="A17" s="113" t="s">
        <v>23</v>
      </c>
      <c r="B17" s="114" t="s">
        <v>64</v>
      </c>
      <c r="C17" s="106" t="s">
        <v>20</v>
      </c>
      <c r="D17" s="107">
        <v>438</v>
      </c>
      <c r="E17" s="108">
        <v>1</v>
      </c>
      <c r="F17" s="115">
        <f t="shared" si="0"/>
        <v>438</v>
      </c>
      <c r="G17" s="110">
        <v>0.25</v>
      </c>
      <c r="H17" s="111">
        <v>0.99</v>
      </c>
      <c r="I17" s="158">
        <f t="shared" si="1"/>
        <v>0.56506849315068497</v>
      </c>
      <c r="J17" s="112" t="s">
        <v>65</v>
      </c>
      <c r="K17">
        <f t="shared" si="2"/>
        <v>0.108405</v>
      </c>
    </row>
    <row r="18" spans="1:16" ht="16.05" customHeight="1">
      <c r="A18" s="113" t="s">
        <v>23</v>
      </c>
      <c r="B18" s="114" t="s">
        <v>66</v>
      </c>
      <c r="C18" s="106" t="s">
        <v>20</v>
      </c>
      <c r="D18" s="107">
        <v>70.192307999999997</v>
      </c>
      <c r="E18" s="108">
        <v>1</v>
      </c>
      <c r="F18" s="115">
        <f t="shared" si="0"/>
        <v>70.192307999999997</v>
      </c>
      <c r="G18" s="110">
        <v>0.01</v>
      </c>
      <c r="H18" s="111">
        <v>0.99</v>
      </c>
      <c r="I18" s="158">
        <f t="shared" si="1"/>
        <v>0.14104109527214864</v>
      </c>
      <c r="J18" s="112" t="s">
        <v>67</v>
      </c>
      <c r="K18">
        <f t="shared" si="2"/>
        <v>6.949038492E-4</v>
      </c>
    </row>
    <row r="19" spans="1:16" ht="16.05" customHeight="1">
      <c r="A19" s="113" t="s">
        <v>23</v>
      </c>
      <c r="B19" s="114" t="s">
        <v>68</v>
      </c>
      <c r="C19" s="106" t="s">
        <v>28</v>
      </c>
      <c r="D19" s="107">
        <v>204.807692</v>
      </c>
      <c r="E19" s="108">
        <f t="shared" ref="E19:E24" si="3">1/$B$6</f>
        <v>0.1111111111111111</v>
      </c>
      <c r="F19" s="115">
        <f t="shared" si="0"/>
        <v>22.756410222222222</v>
      </c>
      <c r="G19" s="110">
        <v>0.60899999999999999</v>
      </c>
      <c r="H19" s="111">
        <v>8.9099999999999999E-2</v>
      </c>
      <c r="I19" s="158">
        <f>IF(F19&gt;0,(1000*G19*H19)/F19,0)</f>
        <v>2.3844665951315931</v>
      </c>
      <c r="J19" s="112" t="s">
        <v>69</v>
      </c>
      <c r="K19">
        <f t="shared" si="2"/>
        <v>1.2348060558371998E-3</v>
      </c>
    </row>
    <row r="20" spans="1:16" ht="16.05" customHeight="1">
      <c r="A20" s="113" t="s">
        <v>23</v>
      </c>
      <c r="B20" s="114" t="s">
        <v>70</v>
      </c>
      <c r="C20" s="106" t="s">
        <v>28</v>
      </c>
      <c r="D20" s="107">
        <v>115.384615</v>
      </c>
      <c r="E20" s="108">
        <f t="shared" si="3"/>
        <v>0.1111111111111111</v>
      </c>
      <c r="F20" s="115">
        <f t="shared" si="0"/>
        <v>12.820512777777777</v>
      </c>
      <c r="G20" s="110">
        <v>0.38800000000000001</v>
      </c>
      <c r="H20" s="111">
        <v>8.9099999999999999E-2</v>
      </c>
      <c r="I20" s="158">
        <f t="shared" si="1"/>
        <v>2.6965224089884079</v>
      </c>
      <c r="J20" s="112" t="s">
        <v>71</v>
      </c>
      <c r="K20">
        <f t="shared" si="2"/>
        <v>4.4321538313799995E-4</v>
      </c>
    </row>
    <row r="21" spans="1:16" ht="16.05" customHeight="1">
      <c r="A21" s="113" t="s">
        <v>23</v>
      </c>
      <c r="B21" s="114" t="s">
        <v>72</v>
      </c>
      <c r="C21" s="106" t="s">
        <v>28</v>
      </c>
      <c r="D21" s="107">
        <v>70.192307999999997</v>
      </c>
      <c r="E21" s="108">
        <f t="shared" si="3"/>
        <v>0.1111111111111111</v>
      </c>
      <c r="F21" s="115">
        <f t="shared" si="0"/>
        <v>7.7991453333333327</v>
      </c>
      <c r="G21" s="110">
        <v>3.0000000000000001E-3</v>
      </c>
      <c r="H21" s="111">
        <v>8.9099999999999999E-2</v>
      </c>
      <c r="I21" s="158">
        <f t="shared" si="1"/>
        <v>3.4272986151132119E-2</v>
      </c>
      <c r="J21" s="112" t="s">
        <v>73</v>
      </c>
      <c r="K21">
        <f t="shared" si="2"/>
        <v>2.0847115475999994E-6</v>
      </c>
    </row>
    <row r="22" spans="1:16" ht="16.05" customHeight="1">
      <c r="A22" s="113" t="s">
        <v>23</v>
      </c>
      <c r="B22" s="114" t="s">
        <v>74</v>
      </c>
      <c r="C22" s="106" t="s">
        <v>28</v>
      </c>
      <c r="D22" s="107">
        <v>120.192308</v>
      </c>
      <c r="E22" s="108">
        <f t="shared" si="3"/>
        <v>0.1111111111111111</v>
      </c>
      <c r="F22" s="115">
        <f t="shared" si="0"/>
        <v>13.354700888888887</v>
      </c>
      <c r="G22" s="110">
        <v>0.60899999999999999</v>
      </c>
      <c r="H22" s="111">
        <v>4.9500000000000002E-2</v>
      </c>
      <c r="I22" s="158">
        <f t="shared" si="1"/>
        <v>2.2572950342213249</v>
      </c>
      <c r="J22" s="112" t="s">
        <v>75</v>
      </c>
      <c r="K22">
        <f t="shared" si="2"/>
        <v>4.0258413564599996E-4</v>
      </c>
    </row>
    <row r="23" spans="1:16" ht="16.05" customHeight="1">
      <c r="A23" s="113" t="s">
        <v>23</v>
      </c>
      <c r="B23" s="114" t="s">
        <v>76</v>
      </c>
      <c r="C23" s="106" t="s">
        <v>28</v>
      </c>
      <c r="D23" s="107">
        <v>79.807692000000003</v>
      </c>
      <c r="E23" s="108">
        <f t="shared" si="3"/>
        <v>0.1111111111111111</v>
      </c>
      <c r="F23" s="115">
        <f t="shared" si="0"/>
        <v>8.8675213333333325</v>
      </c>
      <c r="G23" s="110">
        <v>0.38800000000000001</v>
      </c>
      <c r="H23" s="111">
        <v>4.9500000000000002E-2</v>
      </c>
      <c r="I23" s="158">
        <f t="shared" si="1"/>
        <v>2.165881454133519</v>
      </c>
      <c r="J23" s="112" t="s">
        <v>77</v>
      </c>
      <c r="K23">
        <f t="shared" si="2"/>
        <v>1.70309614728E-4</v>
      </c>
    </row>
    <row r="24" spans="1:16" ht="16.05" customHeight="1">
      <c r="A24" s="113" t="s">
        <v>23</v>
      </c>
      <c r="B24" s="114" t="s">
        <v>78</v>
      </c>
      <c r="C24" s="106" t="s">
        <v>28</v>
      </c>
      <c r="D24" s="107">
        <v>59.615385000000003</v>
      </c>
      <c r="E24" s="108">
        <f t="shared" si="3"/>
        <v>0.1111111111111111</v>
      </c>
      <c r="F24" s="115">
        <f t="shared" si="0"/>
        <v>6.6239316666666666</v>
      </c>
      <c r="G24" s="110">
        <v>3.0000000000000001E-3</v>
      </c>
      <c r="H24" s="111">
        <v>4.9500000000000002E-2</v>
      </c>
      <c r="I24" s="158">
        <f t="shared" si="1"/>
        <v>2.2418709532782521E-2</v>
      </c>
      <c r="J24" s="112" t="s">
        <v>79</v>
      </c>
      <c r="K24">
        <f t="shared" si="2"/>
        <v>9.8365385250000026E-7</v>
      </c>
    </row>
    <row r="25" spans="1:16" ht="16.05" customHeight="1">
      <c r="A25" s="116" t="s">
        <v>35</v>
      </c>
      <c r="B25" s="117" t="s">
        <v>80</v>
      </c>
      <c r="C25" s="106" t="s">
        <v>20</v>
      </c>
      <c r="D25" s="107">
        <v>65.384614999999997</v>
      </c>
      <c r="E25" s="108">
        <v>1</v>
      </c>
      <c r="F25" s="118">
        <f t="shared" si="0"/>
        <v>65.384614999999997</v>
      </c>
      <c r="G25" s="110">
        <v>0.3</v>
      </c>
      <c r="H25" s="111">
        <v>0.99</v>
      </c>
      <c r="I25" s="159">
        <f t="shared" si="1"/>
        <v>4.5423529678961945</v>
      </c>
      <c r="J25" s="112" t="s">
        <v>546</v>
      </c>
      <c r="K25">
        <f t="shared" si="2"/>
        <v>1.9419230654999998E-2</v>
      </c>
    </row>
    <row r="26" spans="1:16" ht="16.05" customHeight="1">
      <c r="A26" s="116" t="s">
        <v>35</v>
      </c>
      <c r="B26" s="117" t="s">
        <v>81</v>
      </c>
      <c r="C26" s="106" t="s">
        <v>17</v>
      </c>
      <c r="D26" s="107">
        <v>20.192308000000001</v>
      </c>
      <c r="E26" s="108">
        <f>$B$7</f>
        <v>41.2</v>
      </c>
      <c r="F26" s="118">
        <f t="shared" si="0"/>
        <v>831.92308960000003</v>
      </c>
      <c r="G26" s="110">
        <v>0.7</v>
      </c>
      <c r="H26" s="111">
        <v>0.99</v>
      </c>
      <c r="I26" s="159">
        <f t="shared" si="1"/>
        <v>0.83300969604438302</v>
      </c>
      <c r="J26" s="112" t="s">
        <v>547</v>
      </c>
      <c r="K26">
        <f t="shared" si="2"/>
        <v>0.57652270109279991</v>
      </c>
    </row>
    <row r="27" spans="1:16" ht="16.05" customHeight="1">
      <c r="A27" s="119" t="s">
        <v>38</v>
      </c>
      <c r="B27" s="120" t="s">
        <v>82</v>
      </c>
      <c r="C27" s="106" t="s">
        <v>20</v>
      </c>
      <c r="D27" s="107">
        <v>92.307692000000003</v>
      </c>
      <c r="E27" s="108">
        <v>1</v>
      </c>
      <c r="F27" s="121">
        <f t="shared" si="0"/>
        <v>92.307692000000003</v>
      </c>
      <c r="G27" s="110">
        <v>0.2</v>
      </c>
      <c r="H27" s="111">
        <v>1</v>
      </c>
      <c r="I27" s="160">
        <f t="shared" si="1"/>
        <v>2.1666666738888889</v>
      </c>
      <c r="J27" s="112" t="s">
        <v>83</v>
      </c>
      <c r="K27">
        <f t="shared" si="2"/>
        <v>1.8461538400000001E-2</v>
      </c>
    </row>
    <row r="28" spans="1:16" ht="16.05" customHeight="1">
      <c r="A28" s="119" t="s">
        <v>38</v>
      </c>
      <c r="B28" s="120" t="s">
        <v>84</v>
      </c>
      <c r="C28" s="106" t="s">
        <v>17</v>
      </c>
      <c r="D28" s="107">
        <v>15.384615</v>
      </c>
      <c r="E28" s="108">
        <f>$B$7</f>
        <v>41.2</v>
      </c>
      <c r="F28" s="121">
        <f t="shared" si="0"/>
        <v>633.846138</v>
      </c>
      <c r="G28" s="110">
        <v>0.5</v>
      </c>
      <c r="H28" s="111">
        <v>1</v>
      </c>
      <c r="I28" s="160">
        <f t="shared" si="1"/>
        <v>0.78883497117718493</v>
      </c>
      <c r="J28" s="112" t="s">
        <v>85</v>
      </c>
      <c r="K28">
        <f t="shared" si="2"/>
        <v>0.316923069</v>
      </c>
    </row>
    <row r="29" spans="1:16" ht="16.05" customHeight="1">
      <c r="A29" s="122" t="s">
        <v>86</v>
      </c>
      <c r="B29" s="123" t="s">
        <v>87</v>
      </c>
      <c r="C29" s="106" t="s">
        <v>20</v>
      </c>
      <c r="D29" s="107">
        <v>2064.5090570000002</v>
      </c>
      <c r="E29" s="108">
        <v>1</v>
      </c>
      <c r="F29" s="124">
        <f t="shared" si="0"/>
        <v>2064.5090570000002</v>
      </c>
      <c r="G29" s="110">
        <v>1</v>
      </c>
      <c r="H29" s="111">
        <v>1</v>
      </c>
      <c r="I29" s="161">
        <f>IF(F29&gt;0,(1000*G29*H29)/F29,0)</f>
        <v>0.48437665923981454</v>
      </c>
      <c r="J29" s="112" t="s">
        <v>88</v>
      </c>
      <c r="K29">
        <f t="shared" si="2"/>
        <v>2.0645090570000004</v>
      </c>
    </row>
    <row r="30" spans="1:16" ht="16.05" customHeight="1">
      <c r="A30" s="122" t="s">
        <v>86</v>
      </c>
      <c r="B30" s="123" t="s">
        <v>89</v>
      </c>
      <c r="C30" s="106" t="s">
        <v>20</v>
      </c>
      <c r="D30" s="107">
        <v>983.09955100000002</v>
      </c>
      <c r="E30" s="108">
        <v>1</v>
      </c>
      <c r="F30" s="124">
        <f t="shared" si="0"/>
        <v>983.09955100000002</v>
      </c>
      <c r="G30" s="110">
        <v>1</v>
      </c>
      <c r="H30" s="111">
        <v>1</v>
      </c>
      <c r="I30" s="161">
        <f>IF(F30&gt;0,(1000*G30*H30)/F30,0)</f>
        <v>1.0171909843543403</v>
      </c>
      <c r="J30" s="112" t="s">
        <v>90</v>
      </c>
      <c r="K30">
        <f t="shared" si="2"/>
        <v>0.98309955100000002</v>
      </c>
      <c r="M30" t="s">
        <v>256</v>
      </c>
    </row>
    <row r="31" spans="1:16" ht="22.05" customHeight="1">
      <c r="A31" s="462" t="s">
        <v>553</v>
      </c>
      <c r="B31" s="447"/>
      <c r="C31" s="447"/>
      <c r="D31" s="447"/>
      <c r="E31" s="447"/>
      <c r="F31" s="447"/>
      <c r="G31" s="447"/>
      <c r="H31" s="447"/>
      <c r="I31" s="162">
        <f>SUM(I13:I30)</f>
        <v>22.09706945617701</v>
      </c>
      <c r="K31">
        <f>SUM(K13:K30)</f>
        <v>5.7861575474485498</v>
      </c>
      <c r="M31" s="445">
        <f>P13/K31</f>
        <v>172.82626541010063</v>
      </c>
    </row>
    <row r="32" spans="1:16" ht="25.95" customHeight="1">
      <c r="A32" s="461" t="s">
        <v>256</v>
      </c>
      <c r="B32" s="447"/>
      <c r="C32" s="447"/>
      <c r="D32" s="447"/>
      <c r="E32" s="447"/>
      <c r="F32" s="447"/>
      <c r="G32" s="447"/>
      <c r="H32" s="447"/>
      <c r="I32" s="125">
        <f>IF(I31&gt;0,1000/I31,0)</f>
        <v>45.25486974565581</v>
      </c>
      <c r="J32" s="463" t="s">
        <v>555</v>
      </c>
      <c r="K32" s="459"/>
      <c r="L32" s="459"/>
      <c r="M32" s="459"/>
      <c r="N32" s="459"/>
      <c r="O32" s="459"/>
      <c r="P32" s="459"/>
    </row>
    <row r="33" spans="1:16" ht="12" customHeight="1"/>
    <row r="34" spans="1:16" ht="22.05" customHeight="1">
      <c r="A34" s="456" t="s">
        <v>91</v>
      </c>
      <c r="B34" s="447"/>
      <c r="C34" s="447"/>
      <c r="D34" s="447"/>
      <c r="E34" s="447"/>
      <c r="F34" s="447"/>
      <c r="G34" s="447"/>
      <c r="H34" s="447"/>
      <c r="I34" s="447"/>
      <c r="J34" s="447"/>
      <c r="K34" s="447"/>
      <c r="L34" s="447"/>
      <c r="M34" s="447"/>
      <c r="N34" s="447"/>
      <c r="O34" s="447"/>
      <c r="P34" s="447"/>
    </row>
    <row r="35" spans="1:16" ht="36" customHeight="1">
      <c r="A35" s="126" t="s">
        <v>8</v>
      </c>
      <c r="B35" s="126" t="s">
        <v>50</v>
      </c>
      <c r="C35" s="126" t="s">
        <v>270</v>
      </c>
      <c r="D35" s="126" t="s">
        <v>52</v>
      </c>
      <c r="E35" s="126" t="s">
        <v>550</v>
      </c>
      <c r="F35" s="126" t="s">
        <v>551</v>
      </c>
      <c r="G35" s="126" t="s">
        <v>53</v>
      </c>
      <c r="H35" s="126" t="s">
        <v>54</v>
      </c>
      <c r="I35" s="126" t="s">
        <v>552</v>
      </c>
      <c r="J35" s="126" t="s">
        <v>542</v>
      </c>
      <c r="K35" s="126" t="s">
        <v>544</v>
      </c>
    </row>
    <row r="36" spans="1:16" ht="16.05" customHeight="1">
      <c r="A36" s="127" t="s">
        <v>92</v>
      </c>
      <c r="B36" s="128" t="s">
        <v>93</v>
      </c>
      <c r="C36" s="106" t="s">
        <v>20</v>
      </c>
      <c r="D36" s="107">
        <v>62.5</v>
      </c>
      <c r="E36" s="108">
        <v>1</v>
      </c>
      <c r="F36" s="129">
        <f t="shared" ref="F36:F51" si="4">D36*E36</f>
        <v>62.5</v>
      </c>
      <c r="G36" s="110">
        <v>0.8</v>
      </c>
      <c r="H36" s="111">
        <v>0.995</v>
      </c>
      <c r="I36" s="150">
        <f>IF(F36&gt;0,(1000*G36*H36)/F36,0)</f>
        <v>12.736000000000001</v>
      </c>
      <c r="J36" s="112" t="s">
        <v>94</v>
      </c>
      <c r="K36">
        <f>(F36*G36*H36)/$O$36</f>
        <v>4.9750000000000003E-2</v>
      </c>
      <c r="O36">
        <v>1000</v>
      </c>
    </row>
    <row r="37" spans="1:16" ht="16.05" customHeight="1">
      <c r="A37" s="127" t="s">
        <v>92</v>
      </c>
      <c r="B37" s="128" t="s">
        <v>95</v>
      </c>
      <c r="C37" s="106" t="s">
        <v>20</v>
      </c>
      <c r="D37" s="107">
        <v>50.607286999999999</v>
      </c>
      <c r="E37" s="108">
        <v>1</v>
      </c>
      <c r="F37" s="129">
        <f t="shared" si="4"/>
        <v>50.607286999999999</v>
      </c>
      <c r="G37" s="110">
        <v>0.2</v>
      </c>
      <c r="H37" s="111">
        <v>0.995</v>
      </c>
      <c r="I37" s="150" t="s">
        <v>557</v>
      </c>
      <c r="J37" s="112" t="s">
        <v>96</v>
      </c>
      <c r="K37">
        <f t="shared" ref="K37:K51" si="5">(F37*G37*H37)/$O$36</f>
        <v>1.0070850113000001E-2</v>
      </c>
    </row>
    <row r="38" spans="1:16" ht="16.05" customHeight="1">
      <c r="A38" s="127" t="s">
        <v>92</v>
      </c>
      <c r="B38" s="128" t="s">
        <v>97</v>
      </c>
      <c r="C38" s="106" t="s">
        <v>17</v>
      </c>
      <c r="D38" s="107">
        <v>20.192308000000001</v>
      </c>
      <c r="E38" s="108">
        <f>$B$7</f>
        <v>41.2</v>
      </c>
      <c r="F38" s="129">
        <f t="shared" si="4"/>
        <v>831.92308960000003</v>
      </c>
      <c r="G38" s="110">
        <v>5.0000000000000001E-3</v>
      </c>
      <c r="H38" s="111">
        <v>1</v>
      </c>
      <c r="I38" s="150"/>
      <c r="J38" s="112" t="s">
        <v>98</v>
      </c>
      <c r="K38">
        <f t="shared" si="5"/>
        <v>4.1596154480000001E-3</v>
      </c>
    </row>
    <row r="39" spans="1:16" ht="16.05" customHeight="1">
      <c r="A39" s="130" t="s">
        <v>99</v>
      </c>
      <c r="B39" s="131" t="s">
        <v>100</v>
      </c>
      <c r="C39" s="106" t="s">
        <v>28</v>
      </c>
      <c r="D39" s="107">
        <v>278.84615400000001</v>
      </c>
      <c r="E39" s="108">
        <f>1/$B$6</f>
        <v>0.1111111111111111</v>
      </c>
      <c r="F39" s="132">
        <f t="shared" si="4"/>
        <v>30.982906</v>
      </c>
      <c r="G39" s="110">
        <v>0.60899999999999999</v>
      </c>
      <c r="H39" s="111">
        <v>0.3</v>
      </c>
      <c r="I39" s="151" t="s">
        <v>558</v>
      </c>
      <c r="J39" s="112" t="s">
        <v>101</v>
      </c>
      <c r="K39">
        <f t="shared" si="5"/>
        <v>5.6605769261999991E-3</v>
      </c>
    </row>
    <row r="40" spans="1:16" ht="16.05" customHeight="1">
      <c r="A40" s="130" t="s">
        <v>99</v>
      </c>
      <c r="B40" s="131" t="s">
        <v>102</v>
      </c>
      <c r="C40" s="106" t="s">
        <v>28</v>
      </c>
      <c r="D40" s="107">
        <v>169.23076900000001</v>
      </c>
      <c r="E40" s="108">
        <f>1/$B$6</f>
        <v>0.1111111111111111</v>
      </c>
      <c r="F40" s="132">
        <f t="shared" si="4"/>
        <v>18.803418777777779</v>
      </c>
      <c r="G40" s="110">
        <v>0.38800000000000001</v>
      </c>
      <c r="H40" s="111">
        <v>0.3</v>
      </c>
      <c r="I40" s="151">
        <f t="shared" ref="I37:I48" si="6">IF(F40&gt;0,(1000*G40*H40)/F40,0)</f>
        <v>6.190363644805041</v>
      </c>
      <c r="J40" s="112" t="s">
        <v>103</v>
      </c>
      <c r="K40">
        <f t="shared" si="5"/>
        <v>2.1887179457333334E-3</v>
      </c>
    </row>
    <row r="41" spans="1:16" ht="16.05" customHeight="1">
      <c r="A41" s="130" t="s">
        <v>99</v>
      </c>
      <c r="B41" s="131" t="s">
        <v>104</v>
      </c>
      <c r="C41" s="106" t="s">
        <v>28</v>
      </c>
      <c r="D41" s="107">
        <v>69.230768999999995</v>
      </c>
      <c r="E41" s="108">
        <f>1/$B$6</f>
        <v>0.1111111111111111</v>
      </c>
      <c r="F41" s="132">
        <f t="shared" si="4"/>
        <v>7.6923076666666654</v>
      </c>
      <c r="G41" s="110">
        <v>3.0000000000000001E-3</v>
      </c>
      <c r="H41" s="111">
        <v>0.3</v>
      </c>
      <c r="I41" s="151">
        <f t="shared" si="6"/>
        <v>0.11700000039000001</v>
      </c>
      <c r="J41" s="112" t="s">
        <v>105</v>
      </c>
      <c r="K41">
        <f t="shared" si="5"/>
        <v>6.9230768999999986E-6</v>
      </c>
    </row>
    <row r="42" spans="1:16" ht="16.05" customHeight="1">
      <c r="A42" s="133" t="s">
        <v>106</v>
      </c>
      <c r="B42" s="117" t="s">
        <v>107</v>
      </c>
      <c r="C42" s="106" t="s">
        <v>20</v>
      </c>
      <c r="D42" s="107">
        <v>65.384614999999997</v>
      </c>
      <c r="E42" s="108">
        <v>1</v>
      </c>
      <c r="F42" s="118">
        <f t="shared" si="4"/>
        <v>65.384614999999997</v>
      </c>
      <c r="G42" s="110">
        <v>0.442</v>
      </c>
      <c r="H42" s="111">
        <v>1</v>
      </c>
      <c r="I42" s="152">
        <f t="shared" si="6"/>
        <v>6.7600000397647069</v>
      </c>
      <c r="J42" s="112" t="s">
        <v>108</v>
      </c>
      <c r="K42">
        <f t="shared" si="5"/>
        <v>2.8899999829999998E-2</v>
      </c>
    </row>
    <row r="43" spans="1:16" ht="16.05" customHeight="1">
      <c r="A43" s="133" t="s">
        <v>106</v>
      </c>
      <c r="B43" s="117" t="s">
        <v>109</v>
      </c>
      <c r="C43" s="106" t="s">
        <v>110</v>
      </c>
      <c r="D43" s="107">
        <v>77.073317000000003</v>
      </c>
      <c r="E43" s="108">
        <f>13/$B$6</f>
        <v>1.4444444444444444</v>
      </c>
      <c r="F43" s="118">
        <f t="shared" si="4"/>
        <v>111.32812455555556</v>
      </c>
      <c r="G43" s="110">
        <v>0.29749999999999999</v>
      </c>
      <c r="H43" s="111">
        <v>1</v>
      </c>
      <c r="I43" s="152">
        <f t="shared" si="6"/>
        <v>2.6722807124226722</v>
      </c>
      <c r="J43" s="112" t="s">
        <v>111</v>
      </c>
      <c r="K43">
        <f t="shared" si="5"/>
        <v>3.312011705527778E-2</v>
      </c>
    </row>
    <row r="44" spans="1:16" ht="16.05" customHeight="1">
      <c r="A44" s="133" t="s">
        <v>106</v>
      </c>
      <c r="B44" s="117" t="s">
        <v>112</v>
      </c>
      <c r="C44" s="106" t="s">
        <v>17</v>
      </c>
      <c r="D44" s="107">
        <v>20.192308000000001</v>
      </c>
      <c r="E44" s="108">
        <f>$B$7</f>
        <v>41.2</v>
      </c>
      <c r="F44" s="118">
        <f t="shared" si="4"/>
        <v>831.92308960000003</v>
      </c>
      <c r="G44" s="110">
        <v>0.1</v>
      </c>
      <c r="H44" s="111">
        <v>1</v>
      </c>
      <c r="I44" s="152">
        <f t="shared" si="6"/>
        <v>0.12020341934262381</v>
      </c>
      <c r="J44" s="112" t="s">
        <v>113</v>
      </c>
      <c r="K44">
        <f t="shared" si="5"/>
        <v>8.3192308960000003E-2</v>
      </c>
    </row>
    <row r="45" spans="1:16" ht="16.05" customHeight="1">
      <c r="A45" s="134" t="s">
        <v>114</v>
      </c>
      <c r="B45" s="114" t="s">
        <v>115</v>
      </c>
      <c r="C45" s="106" t="s">
        <v>17</v>
      </c>
      <c r="D45" s="107">
        <v>25.806698000000001</v>
      </c>
      <c r="E45" s="108">
        <f>$B$7</f>
        <v>41.2</v>
      </c>
      <c r="F45" s="115">
        <f t="shared" si="4"/>
        <v>1063.2359576000001</v>
      </c>
      <c r="G45" s="110">
        <v>0.95</v>
      </c>
      <c r="H45" s="111">
        <v>0.85</v>
      </c>
      <c r="I45" s="153">
        <f t="shared" si="6"/>
        <v>0.75947393824296294</v>
      </c>
      <c r="J45" s="112" t="s">
        <v>116</v>
      </c>
      <c r="K45">
        <f t="shared" si="5"/>
        <v>0.85856303576199999</v>
      </c>
    </row>
    <row r="46" spans="1:16" ht="16.05" customHeight="1">
      <c r="A46" s="134" t="s">
        <v>114</v>
      </c>
      <c r="B46" s="114" t="s">
        <v>117</v>
      </c>
      <c r="C46" s="106" t="s">
        <v>20</v>
      </c>
      <c r="D46" s="107">
        <v>400</v>
      </c>
      <c r="E46" s="108">
        <v>1</v>
      </c>
      <c r="F46" s="115">
        <f t="shared" si="4"/>
        <v>400</v>
      </c>
      <c r="G46" s="110">
        <v>0.05</v>
      </c>
      <c r="H46" s="111">
        <v>1</v>
      </c>
      <c r="I46" s="153">
        <f t="shared" si="6"/>
        <v>0.125</v>
      </c>
      <c r="J46" s="112" t="s">
        <v>118</v>
      </c>
      <c r="K46">
        <f t="shared" si="5"/>
        <v>0.02</v>
      </c>
    </row>
    <row r="47" spans="1:16" ht="16.05" customHeight="1">
      <c r="A47" s="135" t="s">
        <v>119</v>
      </c>
      <c r="B47" s="136" t="s">
        <v>120</v>
      </c>
      <c r="C47" s="106" t="s">
        <v>17</v>
      </c>
      <c r="D47" s="107">
        <v>30.769231000000001</v>
      </c>
      <c r="E47" s="108">
        <f>$B$7</f>
        <v>41.2</v>
      </c>
      <c r="F47" s="137">
        <f t="shared" si="4"/>
        <v>1267.6923172000002</v>
      </c>
      <c r="G47" s="110">
        <v>0.95</v>
      </c>
      <c r="H47" s="111">
        <v>0.85</v>
      </c>
      <c r="I47" s="154">
        <f t="shared" si="6"/>
        <v>0.63698421852358911</v>
      </c>
      <c r="J47" s="112" t="s">
        <v>116</v>
      </c>
      <c r="K47">
        <f t="shared" si="5"/>
        <v>1.023661546139</v>
      </c>
    </row>
    <row r="48" spans="1:16" ht="16.05" customHeight="1">
      <c r="A48" s="135" t="s">
        <v>119</v>
      </c>
      <c r="B48" s="136" t="s">
        <v>121</v>
      </c>
      <c r="C48" s="106" t="s">
        <v>20</v>
      </c>
      <c r="D48" s="107">
        <v>150</v>
      </c>
      <c r="E48" s="108">
        <v>1</v>
      </c>
      <c r="F48" s="137">
        <f t="shared" si="4"/>
        <v>150</v>
      </c>
      <c r="G48" s="110">
        <v>0.05</v>
      </c>
      <c r="H48" s="111">
        <v>1</v>
      </c>
      <c r="I48" s="154">
        <f t="shared" si="6"/>
        <v>0.33333333333333331</v>
      </c>
      <c r="J48" s="112" t="s">
        <v>118</v>
      </c>
      <c r="K48">
        <f t="shared" si="5"/>
        <v>7.4999999999999997E-3</v>
      </c>
    </row>
    <row r="49" spans="1:16" ht="16.05" customHeight="1">
      <c r="A49" s="138" t="s">
        <v>122</v>
      </c>
      <c r="B49" s="123" t="s">
        <v>123</v>
      </c>
      <c r="C49" s="106" t="s">
        <v>20</v>
      </c>
      <c r="D49" s="107">
        <v>350</v>
      </c>
      <c r="E49" s="108">
        <v>1</v>
      </c>
      <c r="F49" s="124">
        <f t="shared" si="4"/>
        <v>350</v>
      </c>
      <c r="G49" s="110">
        <v>1</v>
      </c>
      <c r="H49" s="111">
        <v>1</v>
      </c>
      <c r="I49" s="155">
        <f>IF(F49&gt;0,(1000*G49*H49)/F49,0)</f>
        <v>2.8571428571428572</v>
      </c>
      <c r="J49" s="112" t="s">
        <v>124</v>
      </c>
      <c r="K49">
        <f t="shared" si="5"/>
        <v>0.35</v>
      </c>
    </row>
    <row r="50" spans="1:16" ht="16.05" customHeight="1">
      <c r="A50" s="138" t="s">
        <v>122</v>
      </c>
      <c r="B50" s="123" t="s">
        <v>125</v>
      </c>
      <c r="C50" s="106" t="s">
        <v>20</v>
      </c>
      <c r="D50" s="107">
        <v>350</v>
      </c>
      <c r="E50" s="108">
        <v>1</v>
      </c>
      <c r="F50" s="124">
        <f t="shared" si="4"/>
        <v>350</v>
      </c>
      <c r="G50" s="110">
        <v>1</v>
      </c>
      <c r="H50" s="111">
        <v>1</v>
      </c>
      <c r="I50" s="155">
        <f>IF(F50&gt;0,(1000*G50*H50)/F50,0)</f>
        <v>2.8571428571428572</v>
      </c>
      <c r="J50" s="112" t="s">
        <v>124</v>
      </c>
      <c r="K50">
        <f t="shared" si="5"/>
        <v>0.35</v>
      </c>
    </row>
    <row r="51" spans="1:16" ht="16.05" customHeight="1">
      <c r="A51" s="138" t="s">
        <v>122</v>
      </c>
      <c r="B51" s="123" t="s">
        <v>126</v>
      </c>
      <c r="C51" s="106" t="s">
        <v>20</v>
      </c>
      <c r="D51" s="107">
        <v>80</v>
      </c>
      <c r="E51" s="108">
        <v>1</v>
      </c>
      <c r="F51" s="124">
        <f t="shared" si="4"/>
        <v>80</v>
      </c>
      <c r="G51" s="110">
        <v>1</v>
      </c>
      <c r="H51" s="111">
        <v>1</v>
      </c>
      <c r="I51" s="155">
        <f>IF(F51&gt;0,(1000*G51*H51)/F51,0)</f>
        <v>12.5</v>
      </c>
      <c r="J51" s="112" t="s">
        <v>124</v>
      </c>
      <c r="K51">
        <f t="shared" si="5"/>
        <v>0.08</v>
      </c>
      <c r="L51" s="445" t="s">
        <v>545</v>
      </c>
    </row>
    <row r="52" spans="1:16" ht="22.05" customHeight="1">
      <c r="A52" s="455" t="s">
        <v>554</v>
      </c>
      <c r="B52" s="447"/>
      <c r="C52" s="447"/>
      <c r="D52" s="447"/>
      <c r="E52" s="447"/>
      <c r="F52" s="447"/>
      <c r="G52" s="447"/>
      <c r="H52" s="447"/>
      <c r="I52" s="156">
        <f>SUM(I36:I51)</f>
        <v>48.664925021110641</v>
      </c>
      <c r="K52">
        <f>SUM(K36:K51)</f>
        <v>2.9067736912561113</v>
      </c>
      <c r="L52">
        <f>O36/K52</f>
        <v>344.02403015002778</v>
      </c>
    </row>
    <row r="53" spans="1:16" ht="25.95" customHeight="1">
      <c r="A53" s="451" t="s">
        <v>256</v>
      </c>
      <c r="B53" s="447"/>
      <c r="C53" s="447"/>
      <c r="D53" s="447"/>
      <c r="E53" s="447"/>
      <c r="F53" s="447"/>
      <c r="G53" s="447"/>
      <c r="H53" s="447"/>
      <c r="I53" s="125">
        <f>IF(I52&gt;0,1000/I52,0)</f>
        <v>20.548680585990919</v>
      </c>
      <c r="J53" s="458" t="s">
        <v>555</v>
      </c>
      <c r="K53" s="459"/>
      <c r="L53" s="459"/>
      <c r="M53" s="459"/>
      <c r="N53" s="459"/>
      <c r="O53" s="459"/>
      <c r="P53" s="459"/>
    </row>
    <row r="54" spans="1:16" ht="10.050000000000001" customHeight="1"/>
    <row r="55" spans="1:16" ht="22.05" customHeight="1">
      <c r="A55" s="457" t="s">
        <v>127</v>
      </c>
      <c r="B55" s="447"/>
      <c r="C55" s="447"/>
      <c r="D55" s="447"/>
      <c r="E55" s="447"/>
      <c r="F55" s="447"/>
      <c r="G55" s="447"/>
      <c r="H55" s="447"/>
      <c r="I55" s="447"/>
      <c r="J55" s="447"/>
      <c r="K55" s="447"/>
      <c r="L55" s="447"/>
      <c r="M55" s="447"/>
      <c r="N55" s="447"/>
      <c r="O55" s="447"/>
      <c r="P55" s="447"/>
    </row>
    <row r="56" spans="1:16" ht="18" customHeight="1">
      <c r="A56" s="100" t="s">
        <v>128</v>
      </c>
      <c r="B56" s="139">
        <f>I32</f>
        <v>45.25486974565581</v>
      </c>
    </row>
    <row r="57" spans="1:16" ht="18" customHeight="1">
      <c r="A57" s="100" t="s">
        <v>129</v>
      </c>
      <c r="B57" s="140">
        <f>I53</f>
        <v>20.548680585990919</v>
      </c>
    </row>
    <row r="58" spans="1:16" ht="18" customHeight="1">
      <c r="A58" s="100" t="s">
        <v>130</v>
      </c>
      <c r="B58" s="139">
        <v>7</v>
      </c>
    </row>
    <row r="59" spans="1:16" ht="18" customHeight="1">
      <c r="A59" s="100" t="s">
        <v>131</v>
      </c>
      <c r="B59" s="139">
        <v>7</v>
      </c>
    </row>
    <row r="60" spans="1:16" ht="18" customHeight="1">
      <c r="A60" s="100" t="s">
        <v>132</v>
      </c>
      <c r="B60" s="139">
        <v>7</v>
      </c>
    </row>
    <row r="61" spans="1:16">
      <c r="A61" s="100" t="s">
        <v>133</v>
      </c>
      <c r="B61" s="141">
        <v>0.1</v>
      </c>
    </row>
    <row r="62" spans="1:16" ht="22.05" customHeight="1">
      <c r="A62" s="467" t="s">
        <v>272</v>
      </c>
      <c r="B62" s="447"/>
      <c r="C62" s="142" t="s">
        <v>134</v>
      </c>
      <c r="D62" s="143">
        <v>100</v>
      </c>
      <c r="E62" s="142" t="s">
        <v>135</v>
      </c>
      <c r="F62" s="144">
        <f>D62*$B$56*$B$58*(1-$B$61)</f>
        <v>28510.567939763165</v>
      </c>
      <c r="G62" s="450" t="s">
        <v>556</v>
      </c>
      <c r="H62" s="447"/>
      <c r="I62" s="447"/>
      <c r="J62" s="447"/>
    </row>
    <row r="63" spans="1:16" ht="22.05" customHeight="1">
      <c r="A63" s="454" t="s">
        <v>271</v>
      </c>
      <c r="B63" s="447"/>
      <c r="C63" s="145" t="s">
        <v>136</v>
      </c>
      <c r="D63" s="146">
        <v>50</v>
      </c>
      <c r="E63" s="147"/>
      <c r="F63" s="148">
        <f>D63*$B$57*$B$58*(1-$B$61)</f>
        <v>6472.8343845871395</v>
      </c>
      <c r="G63" s="460" t="s">
        <v>556</v>
      </c>
      <c r="H63" s="447"/>
      <c r="I63" s="447"/>
      <c r="J63" s="447"/>
    </row>
  </sheetData>
  <mergeCells count="17">
    <mergeCell ref="A62:B62"/>
    <mergeCell ref="G62:J62"/>
    <mergeCell ref="A53:H53"/>
    <mergeCell ref="A1:P1"/>
    <mergeCell ref="A9:P9"/>
    <mergeCell ref="A63:B63"/>
    <mergeCell ref="A52:H52"/>
    <mergeCell ref="A34:P34"/>
    <mergeCell ref="A55:P55"/>
    <mergeCell ref="J53:P53"/>
    <mergeCell ref="G63:J63"/>
    <mergeCell ref="A32:H32"/>
    <mergeCell ref="A31:H31"/>
    <mergeCell ref="J32:P32"/>
    <mergeCell ref="A2:P2"/>
    <mergeCell ref="A4:B4"/>
    <mergeCell ref="A11:P1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8"/>
  <sheetViews>
    <sheetView showGridLines="0" zoomScaleNormal="100" workbookViewId="0">
      <pane xSplit="1" ySplit="10" topLeftCell="B11" activePane="bottomRight" state="frozen"/>
      <selection pane="topRight" activeCell="B1" sqref="B1"/>
      <selection pane="bottomLeft" activeCell="A11" sqref="A11"/>
      <selection pane="bottomRight" activeCell="B8" sqref="B8"/>
    </sheetView>
  </sheetViews>
  <sheetFormatPr baseColWidth="10" defaultColWidth="8.6640625" defaultRowHeight="14.4"/>
  <cols>
    <col min="1" max="1" width="17.21875" bestFit="1" customWidth="1"/>
    <col min="2" max="3" width="13" customWidth="1"/>
    <col min="4" max="4" width="11" customWidth="1"/>
    <col min="5" max="5" width="12" customWidth="1"/>
    <col min="6" max="6" width="15" customWidth="1"/>
    <col min="7" max="7" width="14" customWidth="1"/>
    <col min="8" max="8" width="12" customWidth="1"/>
    <col min="9" max="9" width="13" customWidth="1"/>
    <col min="10" max="10" width="11" customWidth="1"/>
  </cols>
  <sheetData>
    <row r="1" spans="1:12" ht="30" customHeight="1">
      <c r="A1" s="446" t="s">
        <v>137</v>
      </c>
      <c r="B1" s="447"/>
      <c r="C1" s="447"/>
      <c r="D1" s="447"/>
      <c r="E1" s="447"/>
      <c r="F1" s="447"/>
      <c r="G1" s="447"/>
      <c r="H1" s="447"/>
      <c r="I1" s="447"/>
      <c r="J1" s="447"/>
      <c r="K1" s="447"/>
      <c r="L1" s="447"/>
    </row>
    <row r="2" spans="1:12" ht="13.5" customHeight="1">
      <c r="A2" s="448" t="s">
        <v>138</v>
      </c>
      <c r="B2" s="447"/>
      <c r="C2" s="447"/>
      <c r="D2" s="447"/>
      <c r="E2" s="447"/>
      <c r="F2" s="447"/>
      <c r="G2" s="447"/>
      <c r="H2" s="447"/>
      <c r="I2" s="447"/>
      <c r="J2" s="447"/>
      <c r="K2" s="447"/>
      <c r="L2" s="447"/>
    </row>
    <row r="4" spans="1:12" ht="16.5" customHeight="1">
      <c r="A4" s="2" t="s">
        <v>139</v>
      </c>
      <c r="B4" s="21">
        <v>432.9</v>
      </c>
      <c r="C4" s="4" t="s">
        <v>43</v>
      </c>
    </row>
    <row r="5" spans="1:12" ht="16.5" customHeight="1">
      <c r="A5" s="2" t="s">
        <v>140</v>
      </c>
      <c r="B5" s="21">
        <v>7</v>
      </c>
      <c r="C5" s="4" t="s">
        <v>141</v>
      </c>
    </row>
    <row r="6" spans="1:12" ht="16.5" customHeight="1">
      <c r="A6" s="2" t="s">
        <v>142</v>
      </c>
      <c r="B6" s="21">
        <v>7</v>
      </c>
      <c r="C6" s="4" t="s">
        <v>141</v>
      </c>
    </row>
    <row r="7" spans="1:12" ht="16.5" customHeight="1">
      <c r="A7" s="2" t="s">
        <v>143</v>
      </c>
      <c r="B7" s="21">
        <v>7</v>
      </c>
      <c r="C7" s="4" t="s">
        <v>141</v>
      </c>
    </row>
    <row r="8" spans="1:12" ht="16.5" customHeight="1">
      <c r="A8" s="2" t="s">
        <v>133</v>
      </c>
      <c r="B8" s="22">
        <v>0.1</v>
      </c>
      <c r="C8" s="4" t="s">
        <v>144</v>
      </c>
    </row>
    <row r="9" spans="1:12" ht="7.5" customHeight="1"/>
    <row r="10" spans="1:12" ht="37.5" customHeight="1">
      <c r="A10" s="23" t="s">
        <v>145</v>
      </c>
      <c r="B10" s="23" t="s">
        <v>146</v>
      </c>
      <c r="C10" s="23" t="s">
        <v>147</v>
      </c>
      <c r="D10" s="23" t="s">
        <v>148</v>
      </c>
      <c r="E10" s="23" t="s">
        <v>149</v>
      </c>
      <c r="F10" s="23" t="s">
        <v>150</v>
      </c>
      <c r="G10" s="23" t="s">
        <v>151</v>
      </c>
      <c r="H10" s="23" t="s">
        <v>152</v>
      </c>
      <c r="I10" s="23" t="s">
        <v>153</v>
      </c>
      <c r="J10" s="23" t="s">
        <v>154</v>
      </c>
    </row>
    <row r="11" spans="1:12" ht="16.5" customHeight="1">
      <c r="A11" s="24" t="s">
        <v>155</v>
      </c>
      <c r="B11" s="25">
        <v>70385</v>
      </c>
      <c r="C11" s="26">
        <f t="shared" ref="C11:C27" si="0">B11*9</f>
        <v>633465</v>
      </c>
      <c r="D11" s="27">
        <v>32.5</v>
      </c>
      <c r="E11" s="26">
        <f t="shared" ref="E11:E27" si="1">D11*45</f>
        <v>1462.5</v>
      </c>
      <c r="F11" s="26">
        <f t="shared" ref="F11:F27" si="2">E11*$B$4</f>
        <v>633116.25</v>
      </c>
      <c r="G11" s="28">
        <f t="shared" ref="G11:G27" si="3">F11*(1-$B$8)</f>
        <v>569804.625</v>
      </c>
      <c r="H11" s="29">
        <f t="shared" ref="H11:H28" si="4">C11/($B$4*45*(1-$B$8))</f>
        <v>36.13100279766946</v>
      </c>
      <c r="I11" s="30">
        <f t="shared" ref="I11:I27" si="5">D11-H11</f>
        <v>-3.6310027976694599</v>
      </c>
      <c r="J11" s="31">
        <f t="shared" ref="J11:J28" si="6">IF(G11&gt;0,C11/G11,0)</f>
        <v>1.1117231630052142</v>
      </c>
    </row>
    <row r="12" spans="1:12" ht="16.5" customHeight="1">
      <c r="A12" s="24" t="s">
        <v>156</v>
      </c>
      <c r="B12" s="25">
        <v>146053</v>
      </c>
      <c r="C12" s="32">
        <f t="shared" si="0"/>
        <v>1314477</v>
      </c>
      <c r="D12" s="27">
        <v>67.5</v>
      </c>
      <c r="E12" s="32">
        <f t="shared" si="1"/>
        <v>3037.5</v>
      </c>
      <c r="F12" s="32">
        <f t="shared" si="2"/>
        <v>1314933.75</v>
      </c>
      <c r="G12" s="33">
        <f t="shared" si="3"/>
        <v>1183440.375</v>
      </c>
      <c r="H12" s="34">
        <f t="shared" si="4"/>
        <v>74.973948307281631</v>
      </c>
      <c r="I12" s="35">
        <f t="shared" si="5"/>
        <v>-7.4739483072816313</v>
      </c>
      <c r="J12" s="36">
        <f t="shared" si="6"/>
        <v>1.1107251601078763</v>
      </c>
    </row>
    <row r="13" spans="1:12" ht="16.5" customHeight="1">
      <c r="A13" s="24" t="s">
        <v>157</v>
      </c>
      <c r="B13" s="25">
        <v>214977</v>
      </c>
      <c r="C13" s="26">
        <f t="shared" si="0"/>
        <v>1934793</v>
      </c>
      <c r="D13" s="27">
        <v>99.3</v>
      </c>
      <c r="E13" s="26">
        <f t="shared" si="1"/>
        <v>4468.5</v>
      </c>
      <c r="F13" s="26">
        <f t="shared" si="2"/>
        <v>1934413.65</v>
      </c>
      <c r="G13" s="28">
        <f t="shared" si="3"/>
        <v>1740972.2849999999</v>
      </c>
      <c r="H13" s="29">
        <f t="shared" si="4"/>
        <v>110.35497035497035</v>
      </c>
      <c r="I13" s="30">
        <f t="shared" si="5"/>
        <v>-11.054970354970351</v>
      </c>
      <c r="J13" s="31">
        <f t="shared" si="6"/>
        <v>1.1113290065958747</v>
      </c>
    </row>
    <row r="14" spans="1:12" ht="16.5" customHeight="1">
      <c r="A14" s="24" t="s">
        <v>158</v>
      </c>
      <c r="B14" s="25">
        <v>298593</v>
      </c>
      <c r="C14" s="32">
        <f t="shared" si="0"/>
        <v>2687337</v>
      </c>
      <c r="D14" s="27">
        <v>138</v>
      </c>
      <c r="E14" s="32">
        <f t="shared" si="1"/>
        <v>6210</v>
      </c>
      <c r="F14" s="32">
        <f t="shared" si="2"/>
        <v>2688309</v>
      </c>
      <c r="G14" s="33">
        <f t="shared" si="3"/>
        <v>2419478.1</v>
      </c>
      <c r="H14" s="34">
        <f t="shared" si="4"/>
        <v>153.27789327789327</v>
      </c>
      <c r="I14" s="35">
        <f t="shared" si="5"/>
        <v>-15.27789327789327</v>
      </c>
      <c r="J14" s="36">
        <f t="shared" si="6"/>
        <v>1.1107093715789367</v>
      </c>
    </row>
    <row r="15" spans="1:12" ht="16.5" customHeight="1">
      <c r="A15" s="24" t="s">
        <v>159</v>
      </c>
      <c r="B15" s="25">
        <v>311827</v>
      </c>
      <c r="C15" s="26">
        <f t="shared" si="0"/>
        <v>2806443</v>
      </c>
      <c r="D15" s="27">
        <v>144.1</v>
      </c>
      <c r="E15" s="26">
        <f t="shared" si="1"/>
        <v>6484.5</v>
      </c>
      <c r="F15" s="26">
        <f t="shared" si="2"/>
        <v>2807140.05</v>
      </c>
      <c r="G15" s="28">
        <f t="shared" si="3"/>
        <v>2526426.0449999999</v>
      </c>
      <c r="H15" s="29">
        <f t="shared" si="4"/>
        <v>160.07135340468673</v>
      </c>
      <c r="I15" s="30">
        <f t="shared" si="5"/>
        <v>-15.971353404686738</v>
      </c>
      <c r="J15" s="31">
        <f t="shared" si="6"/>
        <v>1.1108352075273196</v>
      </c>
    </row>
    <row r="16" spans="1:12" ht="16.5" customHeight="1">
      <c r="A16" s="24" t="s">
        <v>160</v>
      </c>
      <c r="B16" s="25">
        <v>411085</v>
      </c>
      <c r="C16" s="32">
        <f t="shared" si="0"/>
        <v>3699765</v>
      </c>
      <c r="D16" s="27">
        <v>189.9</v>
      </c>
      <c r="E16" s="32">
        <f t="shared" si="1"/>
        <v>8545.5</v>
      </c>
      <c r="F16" s="32">
        <f t="shared" si="2"/>
        <v>3699346.9499999997</v>
      </c>
      <c r="G16" s="33">
        <f t="shared" si="3"/>
        <v>3329412.2549999999</v>
      </c>
      <c r="H16" s="34">
        <f t="shared" si="4"/>
        <v>211.02384435717769</v>
      </c>
      <c r="I16" s="35">
        <f t="shared" si="5"/>
        <v>-21.123844357177688</v>
      </c>
      <c r="J16" s="36">
        <f t="shared" si="6"/>
        <v>1.1112366738134687</v>
      </c>
    </row>
    <row r="17" spans="1:10" ht="16.5" customHeight="1">
      <c r="A17" s="24" t="s">
        <v>161</v>
      </c>
      <c r="B17" s="25">
        <v>384257</v>
      </c>
      <c r="C17" s="26">
        <f t="shared" si="0"/>
        <v>3458313</v>
      </c>
      <c r="D17" s="27">
        <v>177.5</v>
      </c>
      <c r="E17" s="26">
        <f t="shared" si="1"/>
        <v>7987.5</v>
      </c>
      <c r="F17" s="26">
        <f t="shared" si="2"/>
        <v>3457788.75</v>
      </c>
      <c r="G17" s="28">
        <f t="shared" si="3"/>
        <v>3112009.875</v>
      </c>
      <c r="H17" s="29">
        <f t="shared" si="4"/>
        <v>197.25212391879057</v>
      </c>
      <c r="I17" s="30">
        <f t="shared" si="5"/>
        <v>-19.752123918790573</v>
      </c>
      <c r="J17" s="31">
        <f t="shared" si="6"/>
        <v>1.111279571373468</v>
      </c>
    </row>
    <row r="18" spans="1:10" ht="16.5" customHeight="1">
      <c r="A18" s="24" t="s">
        <v>162</v>
      </c>
      <c r="B18" s="25">
        <v>323160</v>
      </c>
      <c r="C18" s="32">
        <f t="shared" si="0"/>
        <v>2908440</v>
      </c>
      <c r="D18" s="27">
        <v>149.30000000000001</v>
      </c>
      <c r="E18" s="32">
        <f t="shared" si="1"/>
        <v>6718.5000000000009</v>
      </c>
      <c r="F18" s="32">
        <f t="shared" si="2"/>
        <v>2908438.6500000004</v>
      </c>
      <c r="G18" s="33">
        <f t="shared" si="3"/>
        <v>2617594.7850000006</v>
      </c>
      <c r="H18" s="34">
        <f t="shared" si="4"/>
        <v>165.88896588896588</v>
      </c>
      <c r="I18" s="35">
        <f t="shared" si="5"/>
        <v>-16.588965888965873</v>
      </c>
      <c r="J18" s="36">
        <f t="shared" si="6"/>
        <v>1.1111116268517471</v>
      </c>
    </row>
    <row r="19" spans="1:10" ht="16.5" customHeight="1">
      <c r="A19" s="24" t="s">
        <v>163</v>
      </c>
      <c r="B19" s="25">
        <v>365723</v>
      </c>
      <c r="C19" s="26">
        <f t="shared" si="0"/>
        <v>3291507</v>
      </c>
      <c r="D19" s="27">
        <v>169</v>
      </c>
      <c r="E19" s="26">
        <f t="shared" si="1"/>
        <v>7605</v>
      </c>
      <c r="F19" s="26">
        <f t="shared" si="2"/>
        <v>3292204.5</v>
      </c>
      <c r="G19" s="28">
        <f t="shared" si="3"/>
        <v>2962984.0500000003</v>
      </c>
      <c r="H19" s="29">
        <f t="shared" si="4"/>
        <v>187.73799440466107</v>
      </c>
      <c r="I19" s="30">
        <f t="shared" si="5"/>
        <v>-18.737994404661066</v>
      </c>
      <c r="J19" s="31">
        <f t="shared" si="6"/>
        <v>1.1108757065364558</v>
      </c>
    </row>
    <row r="20" spans="1:10" ht="16.5" customHeight="1">
      <c r="A20" s="24" t="s">
        <v>164</v>
      </c>
      <c r="B20" s="25">
        <v>375987</v>
      </c>
      <c r="C20" s="32">
        <f t="shared" si="0"/>
        <v>3383883</v>
      </c>
      <c r="D20" s="27">
        <v>173.7</v>
      </c>
      <c r="E20" s="32">
        <f t="shared" si="1"/>
        <v>7816.4999999999991</v>
      </c>
      <c r="F20" s="32">
        <f t="shared" si="2"/>
        <v>3383762.8499999996</v>
      </c>
      <c r="G20" s="33">
        <f t="shared" si="3"/>
        <v>3045386.5649999999</v>
      </c>
      <c r="H20" s="34">
        <f t="shared" si="4"/>
        <v>193.00685300685299</v>
      </c>
      <c r="I20" s="35">
        <f t="shared" si="5"/>
        <v>-19.306853006853004</v>
      </c>
      <c r="J20" s="36">
        <f t="shared" si="6"/>
        <v>1.1111505642305872</v>
      </c>
    </row>
    <row r="21" spans="1:10" ht="16.5" customHeight="1">
      <c r="A21" s="24" t="s">
        <v>165</v>
      </c>
      <c r="B21" s="25">
        <v>428388</v>
      </c>
      <c r="C21" s="26">
        <f t="shared" si="0"/>
        <v>3855492</v>
      </c>
      <c r="D21" s="27">
        <v>197.9</v>
      </c>
      <c r="E21" s="26">
        <f t="shared" si="1"/>
        <v>8905.5</v>
      </c>
      <c r="F21" s="26">
        <f t="shared" si="2"/>
        <v>3855190.9499999997</v>
      </c>
      <c r="G21" s="28">
        <f t="shared" si="3"/>
        <v>3469671.855</v>
      </c>
      <c r="H21" s="29">
        <f t="shared" si="4"/>
        <v>219.90605990605991</v>
      </c>
      <c r="I21" s="30">
        <f t="shared" si="5"/>
        <v>-22.006059906059903</v>
      </c>
      <c r="J21" s="31">
        <f t="shared" si="6"/>
        <v>1.1111978772413336</v>
      </c>
    </row>
    <row r="22" spans="1:10" ht="16.5" customHeight="1">
      <c r="A22" s="24" t="s">
        <v>166</v>
      </c>
      <c r="B22" s="25">
        <v>400605</v>
      </c>
      <c r="C22" s="32">
        <f t="shared" si="0"/>
        <v>3605445</v>
      </c>
      <c r="D22" s="27">
        <v>185.1</v>
      </c>
      <c r="E22" s="32">
        <f t="shared" si="1"/>
        <v>8329.5</v>
      </c>
      <c r="F22" s="32">
        <f t="shared" si="2"/>
        <v>3605840.55</v>
      </c>
      <c r="G22" s="33">
        <f t="shared" si="3"/>
        <v>3245256.4950000001</v>
      </c>
      <c r="H22" s="34">
        <f t="shared" si="4"/>
        <v>205.64410564410562</v>
      </c>
      <c r="I22" s="35">
        <f t="shared" si="5"/>
        <v>-20.544105644105628</v>
      </c>
      <c r="J22" s="36">
        <f t="shared" si="6"/>
        <v>1.1109892255219105</v>
      </c>
    </row>
    <row r="23" spans="1:10" ht="16.5" customHeight="1">
      <c r="A23" s="24" t="s">
        <v>167</v>
      </c>
      <c r="B23" s="25">
        <v>384602</v>
      </c>
      <c r="C23" s="26">
        <f t="shared" si="0"/>
        <v>3461418</v>
      </c>
      <c r="D23" s="27">
        <v>177.7</v>
      </c>
      <c r="E23" s="26">
        <f t="shared" si="1"/>
        <v>7996.4999999999991</v>
      </c>
      <c r="F23" s="26">
        <f t="shared" si="2"/>
        <v>3461684.8499999996</v>
      </c>
      <c r="G23" s="28">
        <f t="shared" si="3"/>
        <v>3115516.3649999998</v>
      </c>
      <c r="H23" s="29">
        <f t="shared" si="4"/>
        <v>197.42922409589076</v>
      </c>
      <c r="I23" s="30">
        <f t="shared" si="5"/>
        <v>-19.729224095890771</v>
      </c>
      <c r="J23" s="31">
        <f t="shared" si="6"/>
        <v>1.111025459177776</v>
      </c>
    </row>
    <row r="24" spans="1:10" ht="16.5" customHeight="1">
      <c r="A24" s="24" t="s">
        <v>168</v>
      </c>
      <c r="B24" s="25">
        <v>364862</v>
      </c>
      <c r="C24" s="32">
        <f t="shared" si="0"/>
        <v>3283758</v>
      </c>
      <c r="D24" s="27">
        <v>168.6</v>
      </c>
      <c r="E24" s="32">
        <f t="shared" si="1"/>
        <v>7587</v>
      </c>
      <c r="F24" s="32">
        <f t="shared" si="2"/>
        <v>3284412.3</v>
      </c>
      <c r="G24" s="33">
        <f t="shared" si="3"/>
        <v>2955971.07</v>
      </c>
      <c r="H24" s="34">
        <f t="shared" si="4"/>
        <v>187.29601396268063</v>
      </c>
      <c r="I24" s="35">
        <f t="shared" si="5"/>
        <v>-18.696013962680638</v>
      </c>
      <c r="J24" s="36">
        <f t="shared" si="6"/>
        <v>1.1108897625307275</v>
      </c>
    </row>
    <row r="25" spans="1:10" ht="16.5" customHeight="1">
      <c r="A25" s="24" t="s">
        <v>169</v>
      </c>
      <c r="B25" s="25">
        <v>281702</v>
      </c>
      <c r="C25" s="26">
        <f t="shared" si="0"/>
        <v>2535318</v>
      </c>
      <c r="D25" s="27">
        <v>130.19999999999999</v>
      </c>
      <c r="E25" s="26">
        <f t="shared" si="1"/>
        <v>5858.9999999999991</v>
      </c>
      <c r="F25" s="26">
        <f t="shared" si="2"/>
        <v>2536361.0999999996</v>
      </c>
      <c r="G25" s="28">
        <f t="shared" si="3"/>
        <v>2282724.9899999998</v>
      </c>
      <c r="H25" s="29">
        <f t="shared" si="4"/>
        <v>144.60717127383793</v>
      </c>
      <c r="I25" s="30">
        <f t="shared" si="5"/>
        <v>-14.407171273837946</v>
      </c>
      <c r="J25" s="31">
        <f t="shared" si="6"/>
        <v>1.1106541572491395</v>
      </c>
    </row>
    <row r="26" spans="1:10" ht="16.5" customHeight="1">
      <c r="A26" s="24" t="s">
        <v>170</v>
      </c>
      <c r="B26" s="25">
        <v>329820</v>
      </c>
      <c r="C26" s="32">
        <f t="shared" si="0"/>
        <v>2968380</v>
      </c>
      <c r="D26" s="27">
        <v>152.4</v>
      </c>
      <c r="E26" s="32">
        <f t="shared" si="1"/>
        <v>6858</v>
      </c>
      <c r="F26" s="32">
        <f t="shared" si="2"/>
        <v>2968828.1999999997</v>
      </c>
      <c r="G26" s="33">
        <f t="shared" si="3"/>
        <v>2671945.38</v>
      </c>
      <c r="H26" s="34">
        <f t="shared" si="4"/>
        <v>169.30776930776929</v>
      </c>
      <c r="I26" s="35">
        <f t="shared" si="5"/>
        <v>-16.907769307769286</v>
      </c>
      <c r="J26" s="36">
        <f t="shared" si="6"/>
        <v>1.110943368161216</v>
      </c>
    </row>
    <row r="27" spans="1:10" ht="16.5" customHeight="1">
      <c r="A27" s="24" t="s">
        <v>171</v>
      </c>
      <c r="B27" s="25">
        <v>308933</v>
      </c>
      <c r="C27" s="26">
        <f t="shared" si="0"/>
        <v>2780397</v>
      </c>
      <c r="D27" s="27">
        <v>142.69999999999999</v>
      </c>
      <c r="E27" s="26">
        <f t="shared" si="1"/>
        <v>6421.4999999999991</v>
      </c>
      <c r="F27" s="26">
        <f t="shared" si="2"/>
        <v>2779867.3499999996</v>
      </c>
      <c r="G27" s="28">
        <f t="shared" si="3"/>
        <v>2501880.6149999998</v>
      </c>
      <c r="H27" s="29">
        <f t="shared" si="4"/>
        <v>158.58576525243191</v>
      </c>
      <c r="I27" s="30">
        <f t="shared" si="5"/>
        <v>-15.885765252431923</v>
      </c>
      <c r="J27" s="31">
        <f t="shared" si="6"/>
        <v>1.1113228118600695</v>
      </c>
    </row>
    <row r="28" spans="1:10" ht="19.5" customHeight="1">
      <c r="A28" s="37" t="s">
        <v>172</v>
      </c>
      <c r="B28" s="38">
        <f>SUM(B11:B27)</f>
        <v>5400959</v>
      </c>
      <c r="C28" s="38">
        <f>SUM(C11:C27)</f>
        <v>48608631</v>
      </c>
      <c r="E28" s="38">
        <f>SUM(E11:E27)</f>
        <v>112293</v>
      </c>
      <c r="F28" s="38">
        <f>SUM(F11:F27)</f>
        <v>48611639.700000003</v>
      </c>
      <c r="G28" s="38">
        <f>SUM(G11:G27)</f>
        <v>43750475.730000004</v>
      </c>
      <c r="H28" s="29">
        <f t="shared" si="4"/>
        <v>2772.4950591617257</v>
      </c>
      <c r="J28" s="39">
        <f t="shared" si="6"/>
        <v>1.1110423415731849</v>
      </c>
    </row>
  </sheetData>
  <mergeCells count="2">
    <mergeCell ref="A2:L2"/>
    <mergeCell ref="A1:L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4"/>
  <sheetViews>
    <sheetView workbookViewId="0">
      <selection activeCell="J7" sqref="J7:K12"/>
    </sheetView>
  </sheetViews>
  <sheetFormatPr baseColWidth="10" defaultRowHeight="14.4"/>
  <cols>
    <col min="1" max="1" width="13.21875" bestFit="1" customWidth="1"/>
    <col min="2" max="2" width="26" bestFit="1" customWidth="1"/>
    <col min="3" max="3" width="9.6640625" bestFit="1" customWidth="1"/>
    <col min="4" max="4" width="37.6640625" bestFit="1" customWidth="1"/>
    <col min="5" max="5" width="11.21875" bestFit="1" customWidth="1"/>
    <col min="6" max="6" width="12.109375" customWidth="1"/>
    <col min="7" max="7" width="16.109375" bestFit="1" customWidth="1"/>
    <col min="10" max="10" width="15.6640625" customWidth="1"/>
  </cols>
  <sheetData>
    <row r="1" spans="1:11">
      <c r="A1" s="48" t="s">
        <v>8</v>
      </c>
      <c r="B1" s="48" t="s">
        <v>173</v>
      </c>
      <c r="C1" s="48" t="s">
        <v>174</v>
      </c>
      <c r="D1" s="48" t="s">
        <v>175</v>
      </c>
      <c r="E1" s="48" t="s">
        <v>176</v>
      </c>
      <c r="F1" s="48" t="s">
        <v>177</v>
      </c>
      <c r="G1" s="149" t="s">
        <v>269</v>
      </c>
    </row>
    <row r="2" spans="1:11">
      <c r="A2" t="s">
        <v>15</v>
      </c>
      <c r="B2" t="s">
        <v>16</v>
      </c>
      <c r="C2" t="s">
        <v>178</v>
      </c>
      <c r="D2" t="s">
        <v>179</v>
      </c>
      <c r="E2" s="47">
        <v>25.012800501459171</v>
      </c>
      <c r="F2" t="s">
        <v>17</v>
      </c>
      <c r="G2" s="47">
        <f>E2*371</f>
        <v>9279.7489860413534</v>
      </c>
    </row>
    <row r="3" spans="1:11">
      <c r="A3" t="s">
        <v>15</v>
      </c>
      <c r="B3" t="s">
        <v>180</v>
      </c>
      <c r="C3" t="s">
        <v>181</v>
      </c>
      <c r="D3" t="s">
        <v>182</v>
      </c>
      <c r="E3" s="47">
        <v>139.42307692307691</v>
      </c>
      <c r="F3" t="s">
        <v>20</v>
      </c>
      <c r="G3" s="47">
        <f>E3*9</f>
        <v>1254.8076923076922</v>
      </c>
    </row>
    <row r="4" spans="1:11">
      <c r="A4" t="s">
        <v>15</v>
      </c>
      <c r="B4" t="s">
        <v>183</v>
      </c>
      <c r="C4" t="s">
        <v>181</v>
      </c>
      <c r="D4" t="s">
        <v>184</v>
      </c>
      <c r="E4" s="47">
        <v>168.2692307692308</v>
      </c>
      <c r="F4" t="s">
        <v>20</v>
      </c>
      <c r="G4" s="47">
        <f t="shared" ref="G4:G5" si="0">E4*9</f>
        <v>1514.4230769230771</v>
      </c>
    </row>
    <row r="5" spans="1:11">
      <c r="A5" t="s">
        <v>23</v>
      </c>
      <c r="B5" t="s">
        <v>24</v>
      </c>
      <c r="C5" t="s">
        <v>181</v>
      </c>
      <c r="D5" t="s">
        <v>185</v>
      </c>
      <c r="E5" s="47">
        <v>438</v>
      </c>
      <c r="F5" t="s">
        <v>20</v>
      </c>
      <c r="G5" s="47">
        <f t="shared" si="0"/>
        <v>3942</v>
      </c>
    </row>
    <row r="6" spans="1:11">
      <c r="A6" t="s">
        <v>23</v>
      </c>
      <c r="B6" t="s">
        <v>25</v>
      </c>
      <c r="C6" t="s">
        <v>181</v>
      </c>
      <c r="D6" t="s">
        <v>62</v>
      </c>
      <c r="E6" s="47">
        <v>31</v>
      </c>
      <c r="F6" t="s">
        <v>17</v>
      </c>
      <c r="G6" s="47">
        <f>E6*371</f>
        <v>11501</v>
      </c>
    </row>
    <row r="7" spans="1:11">
      <c r="A7" t="s">
        <v>23</v>
      </c>
      <c r="B7" t="s">
        <v>26</v>
      </c>
      <c r="C7" t="s">
        <v>181</v>
      </c>
      <c r="D7" t="s">
        <v>66</v>
      </c>
      <c r="E7" s="47">
        <v>70</v>
      </c>
      <c r="F7" t="s">
        <v>20</v>
      </c>
      <c r="G7" s="47">
        <f>70*9</f>
        <v>630</v>
      </c>
      <c r="J7" t="s">
        <v>273</v>
      </c>
      <c r="K7">
        <v>371</v>
      </c>
    </row>
    <row r="8" spans="1:11">
      <c r="A8" t="s">
        <v>23</v>
      </c>
      <c r="B8" t="s">
        <v>68</v>
      </c>
      <c r="C8" t="s">
        <v>181</v>
      </c>
      <c r="D8" t="s">
        <v>68</v>
      </c>
      <c r="E8" s="47">
        <v>204.80769230769229</v>
      </c>
      <c r="F8" t="s">
        <v>186</v>
      </c>
      <c r="G8" s="47">
        <v>204.80769230769229</v>
      </c>
      <c r="J8" t="s">
        <v>274</v>
      </c>
      <c r="K8">
        <v>41.2</v>
      </c>
    </row>
    <row r="9" spans="1:11">
      <c r="A9" t="s">
        <v>23</v>
      </c>
      <c r="B9" t="s">
        <v>70</v>
      </c>
      <c r="C9" t="s">
        <v>181</v>
      </c>
      <c r="D9" t="s">
        <v>70</v>
      </c>
      <c r="E9" s="47">
        <v>115.3846153846154</v>
      </c>
      <c r="F9" t="s">
        <v>186</v>
      </c>
      <c r="G9" s="47">
        <v>115.3846153846154</v>
      </c>
      <c r="J9" t="s">
        <v>275</v>
      </c>
      <c r="K9">
        <v>9</v>
      </c>
    </row>
    <row r="10" spans="1:11">
      <c r="A10" t="s">
        <v>23</v>
      </c>
      <c r="B10" t="s">
        <v>72</v>
      </c>
      <c r="C10" t="s">
        <v>181</v>
      </c>
      <c r="D10" t="s">
        <v>72</v>
      </c>
      <c r="E10" s="47">
        <v>70.192307692307708</v>
      </c>
      <c r="F10" t="s">
        <v>186</v>
      </c>
      <c r="G10" s="47">
        <v>70.192307692307708</v>
      </c>
      <c r="J10" t="s">
        <v>276</v>
      </c>
      <c r="K10">
        <v>20</v>
      </c>
    </row>
    <row r="11" spans="1:11">
      <c r="A11" t="s">
        <v>23</v>
      </c>
      <c r="B11" t="s">
        <v>187</v>
      </c>
      <c r="C11" t="s">
        <v>181</v>
      </c>
      <c r="D11" t="s">
        <v>74</v>
      </c>
      <c r="E11" s="47">
        <v>120.19230769230769</v>
      </c>
      <c r="F11" t="s">
        <v>186</v>
      </c>
      <c r="G11" s="47">
        <v>120.19230769230769</v>
      </c>
      <c r="J11" t="s">
        <v>277</v>
      </c>
      <c r="K11">
        <v>27</v>
      </c>
    </row>
    <row r="12" spans="1:11">
      <c r="A12" t="s">
        <v>23</v>
      </c>
      <c r="B12" t="s">
        <v>188</v>
      </c>
      <c r="C12" t="s">
        <v>181</v>
      </c>
      <c r="D12" t="s">
        <v>76</v>
      </c>
      <c r="E12" s="47">
        <v>79.807692307692292</v>
      </c>
      <c r="F12" t="s">
        <v>186</v>
      </c>
      <c r="G12" s="47">
        <v>79.807692307692292</v>
      </c>
      <c r="J12" t="s">
        <v>278</v>
      </c>
      <c r="K12">
        <v>13</v>
      </c>
    </row>
    <row r="13" spans="1:11">
      <c r="A13" t="s">
        <v>23</v>
      </c>
      <c r="B13" t="s">
        <v>189</v>
      </c>
      <c r="C13" t="s">
        <v>181</v>
      </c>
      <c r="D13" t="s">
        <v>78</v>
      </c>
      <c r="E13" s="47">
        <v>59.61538461538462</v>
      </c>
      <c r="F13" t="s">
        <v>186</v>
      </c>
      <c r="G13" s="47">
        <v>59.61538461538462</v>
      </c>
    </row>
    <row r="14" spans="1:11">
      <c r="A14" t="s">
        <v>23</v>
      </c>
      <c r="D14" t="s">
        <v>190</v>
      </c>
      <c r="E14" s="47">
        <v>279.80769230769232</v>
      </c>
      <c r="F14" t="s">
        <v>186</v>
      </c>
      <c r="G14" s="47">
        <v>279.80769230769232</v>
      </c>
    </row>
    <row r="15" spans="1:11">
      <c r="A15" t="s">
        <v>35</v>
      </c>
      <c r="B15" t="s">
        <v>36</v>
      </c>
      <c r="C15" t="s">
        <v>191</v>
      </c>
      <c r="D15" t="s">
        <v>80</v>
      </c>
      <c r="E15" s="47">
        <v>65.384615384615387</v>
      </c>
      <c r="F15" t="s">
        <v>20</v>
      </c>
      <c r="G15" s="47">
        <f>70*9</f>
        <v>630</v>
      </c>
    </row>
    <row r="16" spans="1:11">
      <c r="A16" t="s">
        <v>35</v>
      </c>
      <c r="B16" t="s">
        <v>192</v>
      </c>
      <c r="C16" t="s">
        <v>193</v>
      </c>
      <c r="D16" t="s">
        <v>81</v>
      </c>
      <c r="E16" s="47">
        <v>20.19230769230769</v>
      </c>
      <c r="F16" t="s">
        <v>17</v>
      </c>
      <c r="G16" s="47">
        <f>E16*371</f>
        <v>7491.3461538461534</v>
      </c>
    </row>
    <row r="17" spans="1:7">
      <c r="A17" t="s">
        <v>38</v>
      </c>
      <c r="B17" t="s">
        <v>194</v>
      </c>
      <c r="C17" t="s">
        <v>193</v>
      </c>
      <c r="D17" t="s">
        <v>84</v>
      </c>
      <c r="E17" s="47">
        <v>15</v>
      </c>
      <c r="F17" t="s">
        <v>17</v>
      </c>
      <c r="G17" s="47">
        <f>E17*371</f>
        <v>5565</v>
      </c>
    </row>
    <row r="18" spans="1:7">
      <c r="A18" t="s">
        <v>38</v>
      </c>
      <c r="B18" t="s">
        <v>195</v>
      </c>
      <c r="C18" t="s">
        <v>193</v>
      </c>
      <c r="D18" t="s">
        <v>82</v>
      </c>
      <c r="E18" s="47">
        <v>92</v>
      </c>
      <c r="F18" t="s">
        <v>20</v>
      </c>
      <c r="G18" s="47">
        <f>E18*9</f>
        <v>828</v>
      </c>
    </row>
    <row r="19" spans="1:7">
      <c r="A19" t="s">
        <v>92</v>
      </c>
      <c r="B19" t="s">
        <v>196</v>
      </c>
      <c r="C19" t="s">
        <v>178</v>
      </c>
      <c r="D19" t="s">
        <v>197</v>
      </c>
      <c r="E19" s="47">
        <v>63</v>
      </c>
      <c r="F19" t="s">
        <v>20</v>
      </c>
      <c r="G19" s="47">
        <f t="shared" ref="G19:G20" si="1">E19*9</f>
        <v>567</v>
      </c>
    </row>
    <row r="20" spans="1:7">
      <c r="A20" t="s">
        <v>92</v>
      </c>
      <c r="B20" t="s">
        <v>198</v>
      </c>
      <c r="C20" t="s">
        <v>191</v>
      </c>
      <c r="D20" t="s">
        <v>199</v>
      </c>
      <c r="E20" s="47">
        <v>51</v>
      </c>
      <c r="F20" t="s">
        <v>20</v>
      </c>
      <c r="G20" s="47">
        <f t="shared" si="1"/>
        <v>459</v>
      </c>
    </row>
    <row r="21" spans="1:7">
      <c r="A21" t="s">
        <v>92</v>
      </c>
      <c r="B21" t="s">
        <v>200</v>
      </c>
      <c r="C21" t="s">
        <v>193</v>
      </c>
      <c r="D21" t="s">
        <v>201</v>
      </c>
      <c r="E21" s="47">
        <v>20</v>
      </c>
      <c r="F21" t="s">
        <v>17</v>
      </c>
      <c r="G21" s="47">
        <f>E21*371</f>
        <v>7420</v>
      </c>
    </row>
    <row r="22" spans="1:7">
      <c r="A22" t="s">
        <v>202</v>
      </c>
      <c r="B22" t="s">
        <v>203</v>
      </c>
      <c r="C22" t="s">
        <v>181</v>
      </c>
      <c r="D22" t="s">
        <v>204</v>
      </c>
      <c r="E22" s="47">
        <v>278.84615384615392</v>
      </c>
      <c r="F22" t="s">
        <v>186</v>
      </c>
      <c r="G22" s="47">
        <v>278.84615384615392</v>
      </c>
    </row>
    <row r="23" spans="1:7">
      <c r="A23" t="s">
        <v>202</v>
      </c>
      <c r="B23" t="s">
        <v>205</v>
      </c>
      <c r="C23" t="s">
        <v>181</v>
      </c>
      <c r="D23" t="s">
        <v>206</v>
      </c>
      <c r="E23" s="47">
        <v>169.23076923076931</v>
      </c>
      <c r="F23" t="s">
        <v>186</v>
      </c>
      <c r="G23" s="47">
        <v>169.23076923076931</v>
      </c>
    </row>
    <row r="24" spans="1:7">
      <c r="A24" t="s">
        <v>202</v>
      </c>
      <c r="B24" t="s">
        <v>207</v>
      </c>
      <c r="C24" t="s">
        <v>181</v>
      </c>
      <c r="D24" t="s">
        <v>208</v>
      </c>
      <c r="E24" s="47">
        <v>69.230769230769241</v>
      </c>
      <c r="F24" t="s">
        <v>186</v>
      </c>
      <c r="G24" s="47">
        <v>69.230769230769241</v>
      </c>
    </row>
    <row r="25" spans="1:7">
      <c r="A25" t="s">
        <v>209</v>
      </c>
      <c r="B25" t="s">
        <v>210</v>
      </c>
      <c r="C25" t="s">
        <v>181</v>
      </c>
      <c r="D25" t="s">
        <v>211</v>
      </c>
      <c r="E25" s="47">
        <v>65.384615384615387</v>
      </c>
      <c r="F25" t="s">
        <v>20</v>
      </c>
      <c r="G25" s="47">
        <f>65*9</f>
        <v>585</v>
      </c>
    </row>
    <row r="26" spans="1:7">
      <c r="A26" t="s">
        <v>209</v>
      </c>
      <c r="B26" t="s">
        <v>212</v>
      </c>
      <c r="C26" t="s">
        <v>181</v>
      </c>
      <c r="D26" t="s">
        <v>213</v>
      </c>
      <c r="E26" s="47">
        <v>77.073317307692321</v>
      </c>
      <c r="F26" t="s">
        <v>110</v>
      </c>
      <c r="G26" s="47">
        <f>77</f>
        <v>77</v>
      </c>
    </row>
    <row r="27" spans="1:7">
      <c r="A27" t="s">
        <v>214</v>
      </c>
      <c r="B27" t="s">
        <v>215</v>
      </c>
      <c r="C27" t="s">
        <v>178</v>
      </c>
      <c r="D27" t="s">
        <v>216</v>
      </c>
      <c r="E27" s="47">
        <v>25.80669827190702</v>
      </c>
      <c r="F27" t="s">
        <v>17</v>
      </c>
      <c r="G27" s="47">
        <f>26*371</f>
        <v>9646</v>
      </c>
    </row>
    <row r="28" spans="1:7">
      <c r="A28" t="s">
        <v>214</v>
      </c>
      <c r="B28" t="s">
        <v>217</v>
      </c>
      <c r="C28" t="s">
        <v>181</v>
      </c>
      <c r="D28" t="s">
        <v>218</v>
      </c>
      <c r="E28">
        <v>400</v>
      </c>
      <c r="F28" t="s">
        <v>219</v>
      </c>
      <c r="G28" s="47">
        <f>400*9</f>
        <v>3600</v>
      </c>
    </row>
    <row r="29" spans="1:7">
      <c r="A29" t="s">
        <v>119</v>
      </c>
      <c r="B29" t="s">
        <v>220</v>
      </c>
      <c r="C29" t="s">
        <v>178</v>
      </c>
      <c r="D29" t="s">
        <v>221</v>
      </c>
      <c r="E29" s="47">
        <v>30.76923076923077</v>
      </c>
      <c r="F29" t="s">
        <v>17</v>
      </c>
      <c r="G29" s="47">
        <f>31*371</f>
        <v>11501</v>
      </c>
    </row>
    <row r="30" spans="1:7">
      <c r="A30" t="s">
        <v>119</v>
      </c>
      <c r="B30" t="s">
        <v>222</v>
      </c>
      <c r="C30" t="s">
        <v>181</v>
      </c>
      <c r="D30" t="s">
        <v>223</v>
      </c>
      <c r="E30">
        <v>150</v>
      </c>
      <c r="F30" t="s">
        <v>219</v>
      </c>
      <c r="G30" s="47">
        <f>E30*9</f>
        <v>1350</v>
      </c>
    </row>
    <row r="31" spans="1:7">
      <c r="A31" t="s">
        <v>224</v>
      </c>
      <c r="B31" t="s">
        <v>225</v>
      </c>
      <c r="C31" t="s">
        <v>224</v>
      </c>
      <c r="D31" t="s">
        <v>87</v>
      </c>
      <c r="E31" s="47">
        <v>2065</v>
      </c>
      <c r="F31" t="s">
        <v>20</v>
      </c>
      <c r="G31" s="47">
        <f t="shared" ref="G31:G34" si="2">E31*9</f>
        <v>18585</v>
      </c>
    </row>
    <row r="32" spans="1:7">
      <c r="A32" t="s">
        <v>224</v>
      </c>
      <c r="B32" t="s">
        <v>226</v>
      </c>
      <c r="C32" t="s">
        <v>224</v>
      </c>
      <c r="D32" t="s">
        <v>89</v>
      </c>
      <c r="E32">
        <v>983</v>
      </c>
      <c r="F32" t="s">
        <v>20</v>
      </c>
      <c r="G32" s="47">
        <f t="shared" si="2"/>
        <v>8847</v>
      </c>
    </row>
    <row r="33" spans="1:7">
      <c r="A33" t="s">
        <v>227</v>
      </c>
      <c r="B33" t="s">
        <v>228</v>
      </c>
      <c r="C33" t="s">
        <v>227</v>
      </c>
      <c r="D33" t="s">
        <v>229</v>
      </c>
      <c r="E33">
        <v>1160</v>
      </c>
      <c r="F33" t="s">
        <v>20</v>
      </c>
      <c r="G33" s="47">
        <f t="shared" si="2"/>
        <v>10440</v>
      </c>
    </row>
    <row r="34" spans="1:7">
      <c r="A34" t="s">
        <v>227</v>
      </c>
      <c r="B34" t="s">
        <v>230</v>
      </c>
      <c r="C34" t="s">
        <v>227</v>
      </c>
      <c r="D34" t="s">
        <v>231</v>
      </c>
      <c r="E34">
        <v>430</v>
      </c>
      <c r="F34" t="s">
        <v>20</v>
      </c>
      <c r="G34" s="47">
        <f t="shared" si="2"/>
        <v>3870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1"/>
  <sheetViews>
    <sheetView showGridLines="0" zoomScaleNormal="100" workbookViewId="0">
      <selection activeCell="D24" sqref="D24"/>
    </sheetView>
  </sheetViews>
  <sheetFormatPr baseColWidth="10" defaultColWidth="8.6640625" defaultRowHeight="14.4"/>
  <cols>
    <col min="1" max="1" width="20" customWidth="1"/>
    <col min="2" max="2" width="34" customWidth="1"/>
    <col min="3" max="4" width="13" customWidth="1"/>
    <col min="5" max="5" width="10" customWidth="1"/>
    <col min="6" max="6" width="12" customWidth="1"/>
  </cols>
  <sheetData>
    <row r="1" spans="1:6" ht="25.5" customHeight="1">
      <c r="A1" s="469" t="s">
        <v>265</v>
      </c>
      <c r="B1" s="447"/>
      <c r="C1" s="447"/>
      <c r="D1" s="447"/>
      <c r="E1" s="447"/>
      <c r="F1" s="447"/>
    </row>
    <row r="3" spans="1:6" ht="18" customHeight="1">
      <c r="A3" s="40" t="s">
        <v>8</v>
      </c>
      <c r="B3" s="40" t="s">
        <v>9</v>
      </c>
      <c r="C3" s="40" t="s">
        <v>10</v>
      </c>
      <c r="D3" s="40" t="s">
        <v>177</v>
      </c>
      <c r="E3" s="40" t="s">
        <v>12</v>
      </c>
      <c r="F3" s="40" t="s">
        <v>266</v>
      </c>
    </row>
    <row r="4" spans="1:6" ht="15.75" customHeight="1">
      <c r="A4" s="6" t="s">
        <v>15</v>
      </c>
      <c r="B4" s="6" t="s">
        <v>16</v>
      </c>
      <c r="C4" s="41">
        <v>25.01</v>
      </c>
      <c r="D4" s="6" t="s">
        <v>17</v>
      </c>
      <c r="E4" s="41">
        <v>371</v>
      </c>
      <c r="F4" s="8">
        <v>9279</v>
      </c>
    </row>
    <row r="5" spans="1:6" ht="15.75" customHeight="1">
      <c r="A5" s="6" t="s">
        <v>15</v>
      </c>
      <c r="B5" s="6" t="s">
        <v>19</v>
      </c>
      <c r="C5" s="41">
        <v>139.41999999999999</v>
      </c>
      <c r="D5" s="6" t="s">
        <v>20</v>
      </c>
      <c r="E5" s="41">
        <v>9</v>
      </c>
      <c r="F5" s="8">
        <v>1255</v>
      </c>
    </row>
    <row r="6" spans="1:6" ht="15.75" customHeight="1">
      <c r="A6" s="6" t="s">
        <v>15</v>
      </c>
      <c r="B6" s="6" t="s">
        <v>22</v>
      </c>
      <c r="C6" s="41">
        <v>168.27</v>
      </c>
      <c r="D6" s="6" t="s">
        <v>20</v>
      </c>
      <c r="E6" s="41">
        <v>9</v>
      </c>
      <c r="F6" s="8">
        <v>1514</v>
      </c>
    </row>
    <row r="7" spans="1:6" ht="15.75" customHeight="1">
      <c r="A7" s="9" t="s">
        <v>23</v>
      </c>
      <c r="B7" s="9" t="s">
        <v>24</v>
      </c>
      <c r="C7" s="42">
        <v>438</v>
      </c>
      <c r="D7" s="9" t="s">
        <v>20</v>
      </c>
      <c r="E7" s="42">
        <v>9</v>
      </c>
      <c r="F7" s="11">
        <v>3942</v>
      </c>
    </row>
    <row r="8" spans="1:6" ht="15.75" customHeight="1">
      <c r="A8" s="9" t="s">
        <v>23</v>
      </c>
      <c r="B8" s="9" t="s">
        <v>25</v>
      </c>
      <c r="C8" s="42">
        <v>31</v>
      </c>
      <c r="D8" s="9" t="s">
        <v>17</v>
      </c>
      <c r="E8" s="42">
        <v>371</v>
      </c>
      <c r="F8" s="11">
        <v>11501</v>
      </c>
    </row>
    <row r="9" spans="1:6" ht="15.75" customHeight="1">
      <c r="A9" s="9" t="s">
        <v>23</v>
      </c>
      <c r="B9" s="9" t="s">
        <v>26</v>
      </c>
      <c r="C9" s="42">
        <v>70</v>
      </c>
      <c r="D9" s="9" t="s">
        <v>20</v>
      </c>
      <c r="E9" s="42">
        <v>9</v>
      </c>
      <c r="F9" s="11">
        <v>630</v>
      </c>
    </row>
    <row r="10" spans="1:6" ht="15.75" customHeight="1">
      <c r="A10" s="9" t="s">
        <v>23</v>
      </c>
      <c r="B10" s="9" t="s">
        <v>27</v>
      </c>
      <c r="C10" s="42">
        <v>204.81</v>
      </c>
      <c r="D10" s="9" t="s">
        <v>28</v>
      </c>
      <c r="E10" s="42">
        <v>1</v>
      </c>
      <c r="F10" s="11">
        <v>205</v>
      </c>
    </row>
    <row r="11" spans="1:6" ht="15.75" customHeight="1">
      <c r="A11" s="9" t="s">
        <v>23</v>
      </c>
      <c r="B11" s="9" t="s">
        <v>30</v>
      </c>
      <c r="C11" s="42">
        <v>115.38</v>
      </c>
      <c r="D11" s="9" t="s">
        <v>28</v>
      </c>
      <c r="E11" s="42">
        <v>1</v>
      </c>
      <c r="F11" s="11">
        <v>115</v>
      </c>
    </row>
    <row r="12" spans="1:6" ht="15.75" customHeight="1">
      <c r="A12" s="9" t="s">
        <v>23</v>
      </c>
      <c r="B12" s="9" t="s">
        <v>31</v>
      </c>
      <c r="C12" s="42">
        <v>70.19</v>
      </c>
      <c r="D12" s="9" t="s">
        <v>28</v>
      </c>
      <c r="E12" s="42">
        <v>1</v>
      </c>
      <c r="F12" s="11">
        <v>70</v>
      </c>
    </row>
    <row r="13" spans="1:6" ht="15.75" customHeight="1">
      <c r="A13" s="9" t="s">
        <v>23</v>
      </c>
      <c r="B13" s="9" t="s">
        <v>32</v>
      </c>
      <c r="C13" s="42">
        <v>120.19</v>
      </c>
      <c r="D13" s="9" t="s">
        <v>28</v>
      </c>
      <c r="E13" s="42">
        <v>1</v>
      </c>
      <c r="F13" s="11">
        <v>120</v>
      </c>
    </row>
    <row r="14" spans="1:6" ht="15.75" customHeight="1">
      <c r="A14" s="9" t="s">
        <v>23</v>
      </c>
      <c r="B14" s="9" t="s">
        <v>33</v>
      </c>
      <c r="C14" s="42">
        <v>79.81</v>
      </c>
      <c r="D14" s="9" t="s">
        <v>28</v>
      </c>
      <c r="E14" s="42">
        <v>1</v>
      </c>
      <c r="F14" s="11">
        <v>80</v>
      </c>
    </row>
    <row r="15" spans="1:6" ht="15.75" customHeight="1">
      <c r="A15" s="9" t="s">
        <v>23</v>
      </c>
      <c r="B15" s="9" t="s">
        <v>34</v>
      </c>
      <c r="C15" s="42">
        <v>59.62</v>
      </c>
      <c r="D15" s="9" t="s">
        <v>28</v>
      </c>
      <c r="E15" s="42">
        <v>1</v>
      </c>
      <c r="F15" s="11">
        <v>60</v>
      </c>
    </row>
    <row r="16" spans="1:6" ht="15.75" customHeight="1">
      <c r="A16" s="12" t="s">
        <v>35</v>
      </c>
      <c r="B16" s="12" t="s">
        <v>36</v>
      </c>
      <c r="C16" s="43">
        <v>65.38</v>
      </c>
      <c r="D16" s="12" t="s">
        <v>20</v>
      </c>
      <c r="E16" s="43">
        <v>9</v>
      </c>
      <c r="F16" s="14">
        <v>588</v>
      </c>
    </row>
    <row r="17" spans="1:6" ht="15.75" customHeight="1">
      <c r="A17" s="12" t="s">
        <v>35</v>
      </c>
      <c r="B17" s="12" t="s">
        <v>37</v>
      </c>
      <c r="C17" s="43">
        <v>20.190000000000001</v>
      </c>
      <c r="D17" s="12" t="s">
        <v>17</v>
      </c>
      <c r="E17" s="43">
        <v>371</v>
      </c>
      <c r="F17" s="14">
        <v>7490</v>
      </c>
    </row>
    <row r="18" spans="1:6" ht="15.75" customHeight="1">
      <c r="A18" s="15" t="s">
        <v>38</v>
      </c>
      <c r="B18" s="15" t="s">
        <v>39</v>
      </c>
      <c r="C18" s="44">
        <v>15</v>
      </c>
      <c r="D18" s="15" t="s">
        <v>17</v>
      </c>
      <c r="E18" s="44">
        <v>371</v>
      </c>
      <c r="F18" s="17">
        <v>5565</v>
      </c>
    </row>
    <row r="19" spans="1:6" ht="15.75" customHeight="1">
      <c r="A19" s="15" t="s">
        <v>38</v>
      </c>
      <c r="B19" s="15" t="s">
        <v>40</v>
      </c>
      <c r="C19" s="44">
        <v>92</v>
      </c>
      <c r="D19" s="15" t="s">
        <v>20</v>
      </c>
      <c r="E19" s="44">
        <v>9</v>
      </c>
      <c r="F19" s="17">
        <v>828</v>
      </c>
    </row>
    <row r="21" spans="1:6" ht="21.75" customHeight="1">
      <c r="A21" s="45" t="s">
        <v>267</v>
      </c>
      <c r="B21" s="46">
        <v>432.9</v>
      </c>
      <c r="C21" s="2" t="s">
        <v>268</v>
      </c>
      <c r="D21" s="468"/>
      <c r="E21" s="447"/>
      <c r="F21" s="447"/>
    </row>
  </sheetData>
  <mergeCells count="2">
    <mergeCell ref="D21:F21"/>
    <mergeCell ref="A1:F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2:J24"/>
  <sheetViews>
    <sheetView workbookViewId="0">
      <selection activeCell="G29" sqref="G29"/>
    </sheetView>
  </sheetViews>
  <sheetFormatPr baseColWidth="10" defaultRowHeight="14.4"/>
  <cols>
    <col min="3" max="3" width="19.77734375" bestFit="1" customWidth="1"/>
  </cols>
  <sheetData>
    <row r="2" spans="3:10" ht="15" customHeight="1" thickBot="1"/>
    <row r="3" spans="3:10">
      <c r="C3" s="49" t="s">
        <v>232</v>
      </c>
      <c r="D3" s="50" t="s">
        <v>233</v>
      </c>
      <c r="E3" s="51" t="s">
        <v>234</v>
      </c>
      <c r="F3" s="51" t="s">
        <v>235</v>
      </c>
      <c r="G3" s="51" t="s">
        <v>236</v>
      </c>
      <c r="H3" s="51" t="s">
        <v>237</v>
      </c>
      <c r="I3" s="51" t="s">
        <v>238</v>
      </c>
      <c r="J3" s="52" t="s">
        <v>239</v>
      </c>
    </row>
    <row r="4" spans="3:10">
      <c r="C4" s="53" t="s">
        <v>240</v>
      </c>
      <c r="D4" s="54">
        <f>(([2]O1!D13+[2]O2!D13+[2]O5!D13+[2]O6!D13))</f>
        <v>6</v>
      </c>
      <c r="E4" s="55">
        <f>[2]O1!E13+[2]O2!E13+[2]O5!E13+[2]O6!E13</f>
        <v>6</v>
      </c>
      <c r="F4" s="55">
        <f>[2]O1!F13+[2]O2!F13+[2]O5!F13+[2]O6!F13</f>
        <v>6</v>
      </c>
      <c r="G4" s="55">
        <f>[2]O1!G13+[2]O2!G13+[2]O5!G13+[2]O6!G13</f>
        <v>6</v>
      </c>
      <c r="H4" s="55">
        <f>[2]O1!H13+[2]O2!H13+[2]O5!H13+[2]O6!H13</f>
        <v>6</v>
      </c>
      <c r="I4" s="55">
        <f>[2]O1!I13+[2]O2!J13+[2]O5!I13+[2]O6!I13</f>
        <v>0</v>
      </c>
      <c r="J4" s="55">
        <f>[2]O1!J13+[2]O2!K13+[2]O5!J13+[2]O6!J13</f>
        <v>0</v>
      </c>
    </row>
    <row r="5" spans="3:10" ht="15" customHeight="1" thickBot="1">
      <c r="C5" s="56" t="s">
        <v>241</v>
      </c>
      <c r="D5" s="57">
        <v>0</v>
      </c>
      <c r="E5" s="58">
        <v>0</v>
      </c>
      <c r="F5" s="58">
        <f>[2]SDL!F13</f>
        <v>0</v>
      </c>
      <c r="G5" s="58">
        <f>[2]SDL!G13</f>
        <v>0</v>
      </c>
      <c r="H5" s="58">
        <f>[2]SDL!H13</f>
        <v>0</v>
      </c>
      <c r="I5" s="58">
        <f>[2]SDL!I13</f>
        <v>0</v>
      </c>
      <c r="J5" s="59">
        <f>[2]SDL!J13</f>
        <v>0</v>
      </c>
    </row>
    <row r="6" spans="3:10" ht="15" customHeight="1" thickBot="1">
      <c r="C6" s="60" t="s">
        <v>242</v>
      </c>
      <c r="D6" s="55"/>
      <c r="E6" s="55"/>
      <c r="F6" s="55"/>
      <c r="G6" s="55"/>
      <c r="H6" s="55"/>
      <c r="I6" s="55"/>
      <c r="J6" s="55"/>
    </row>
    <row r="7" spans="3:10" ht="15" customHeight="1" thickBot="1">
      <c r="C7" s="60" t="s">
        <v>243</v>
      </c>
      <c r="D7" s="55"/>
      <c r="E7" s="55"/>
      <c r="F7" s="55"/>
      <c r="G7" s="55"/>
      <c r="H7" s="55"/>
      <c r="I7" s="55"/>
      <c r="J7" s="55"/>
    </row>
    <row r="8" spans="3:10">
      <c r="C8" s="61" t="s">
        <v>244</v>
      </c>
      <c r="D8" s="62">
        <f>[2]O1!D14+[2]O2!D14+[2]O5!D14+[2]O6!D14+[2]SDL!D14</f>
        <v>6</v>
      </c>
      <c r="E8" s="63">
        <f>[2]O1!E14+[2]O2!E14+[2]O5!E14+[2]O6!E14+[2]SDL!E14</f>
        <v>7</v>
      </c>
      <c r="F8" s="63">
        <f>[2]O1!F14+[2]O2!F14+[2]O5!F14+[2]O6!F14+[2]SDL!F14</f>
        <v>12</v>
      </c>
      <c r="G8" s="63">
        <f>[2]O1!G14+[2]O2!G14+[2]O5!G14+[2]O6!G14+[2]SDL!G14</f>
        <v>5</v>
      </c>
      <c r="H8" s="63">
        <f>[2]O1!H14+[2]O2!H14+[2]O5!H14+[2]O6!H14+[2]SDL!H14</f>
        <v>8</v>
      </c>
      <c r="I8" s="63">
        <f>[2]O1!I14+[2]O2!I14+[2]O5!I14+[2]O6!I14+[2]SDL!I14</f>
        <v>2</v>
      </c>
      <c r="J8" s="64">
        <f>[2]O1!J14+[2]O2!J14+[2]O5!J14+[2]O6!J14+[2]SDL!J14</f>
        <v>2</v>
      </c>
    </row>
    <row r="9" spans="3:10" ht="28.8" customHeight="1">
      <c r="C9" s="65" t="s">
        <v>245</v>
      </c>
      <c r="D9" s="54">
        <f>[2]O1!D15+[2]O2!D15+[2]O5!D15+[2]O6!D15+[2]SDL!D15</f>
        <v>4</v>
      </c>
      <c r="E9" s="55">
        <f>[2]O1!E15+[2]O2!E15+[2]O5!E15+[2]O6!E15+[2]SDL!E15</f>
        <v>7</v>
      </c>
      <c r="F9" s="55">
        <f>[2]O1!F15+[2]O2!F15+[2]O5!F15+[2]O6!F15+[2]SDL!F15</f>
        <v>2</v>
      </c>
      <c r="G9" s="55">
        <f>[2]O1!G15+[2]O2!G15+[2]O5!G15+[2]O6!G15+[2]SDL!G15</f>
        <v>4</v>
      </c>
      <c r="H9" s="55">
        <f>[2]O1!H15+[2]O2!H15+[2]O5!H15+[2]O6!H15+[2]SDL!H15</f>
        <v>2</v>
      </c>
      <c r="I9" s="55">
        <f>[2]O1!I15+[2]O2!I15+[2]O5!I15+[2]O6!I15+[2]SDL!I15</f>
        <v>0</v>
      </c>
      <c r="J9" s="66">
        <f>[2]O1!J15+[2]O2!J15+[2]O5!J15+[2]O6!J15+[2]SDL!J15</f>
        <v>0</v>
      </c>
    </row>
    <row r="10" spans="3:10">
      <c r="C10" s="53" t="s">
        <v>246</v>
      </c>
      <c r="D10" s="54">
        <f>[2]O1!D16+[2]O2!D16+[2]O5!D16+[2]O6!D16+[2]SDL!D16</f>
        <v>5</v>
      </c>
      <c r="E10" s="55">
        <f>[2]O1!E16+[2]O2!E16+[2]O5!E16+[2]O6!E16+[2]SDL!E16</f>
        <v>4</v>
      </c>
      <c r="F10" s="55">
        <f>[2]O1!F16+[2]O2!F16+[2]O5!F16+[2]O6!F16+[2]SDL!F16</f>
        <v>1</v>
      </c>
      <c r="G10" s="55">
        <f>[2]O1!G16+[2]O2!G16+[2]O5!G16+[2]O6!G16+[2]SDL!G16</f>
        <v>1</v>
      </c>
      <c r="H10" s="55">
        <f>[2]O1!H16+[2]O2!H16+[2]O5!H16+[2]O6!H16+[2]SDL!H16</f>
        <v>1</v>
      </c>
      <c r="I10" s="66">
        <f>[2]O1!I16+[2]O2!I16+[2]O5!I16+[2]O6!I16+[2]SDL!I16</f>
        <v>7</v>
      </c>
      <c r="J10" s="66">
        <f>[2]O1!J16+[2]O2!J16+[2]O5!J16+[2]O6!J16+[2]SDL!J16</f>
        <v>7</v>
      </c>
    </row>
    <row r="11" spans="3:10" ht="15" customHeight="1" thickBot="1">
      <c r="C11" s="56" t="s">
        <v>247</v>
      </c>
      <c r="D11" s="67">
        <f>[2]O1!D17+[2]O2!D17+[2]O5!D17+[2]O6!D17+[2]SDL!D17</f>
        <v>224</v>
      </c>
      <c r="E11" s="67">
        <f>[2]O1!E17+[2]O2!E17+[2]O5!E17+[2]O6!E17+[2]SDL!E17</f>
        <v>214</v>
      </c>
      <c r="F11" s="67">
        <f>[2]O1!F17+[2]O2!F17+[2]O5!F17+[2]O6!F17+[2]SDL!F17</f>
        <v>181</v>
      </c>
      <c r="G11" s="67">
        <f>[2]O1!G17+[2]O2!G17+[2]O5!G17+[2]O6!G17+[2]SDL!G17</f>
        <v>186</v>
      </c>
      <c r="H11" s="67">
        <f>[2]O1!H17+[2]O2!H17+[2]O5!H17+[2]O6!H17+[2]SDL!H17</f>
        <v>185</v>
      </c>
      <c r="I11" s="67">
        <f>[2]O1!I17+[2]O2!I17+[2]O5!I17+[2]O6!I17+[2]SDL!I17</f>
        <v>70</v>
      </c>
      <c r="J11" s="68">
        <f>[2]O1!J17+[2]O2!J17+[2]O5!J17+[2]O6!J17+[2]SDL!J17</f>
        <v>70</v>
      </c>
    </row>
    <row r="12" spans="3:10" ht="15" customHeight="1" thickBot="1">
      <c r="C12" s="69"/>
      <c r="D12" s="69"/>
      <c r="E12" s="69"/>
      <c r="F12" s="69"/>
      <c r="G12" s="69"/>
      <c r="H12" s="69"/>
      <c r="I12" s="69"/>
      <c r="J12" s="69"/>
    </row>
    <row r="13" spans="3:10">
      <c r="C13" s="61" t="s">
        <v>248</v>
      </c>
      <c r="D13" s="70">
        <f>[2]O1!D18+[2]O2!D18+[2]O5!D18+[2]O6!D18+[2]SDL!D18</f>
        <v>0</v>
      </c>
      <c r="E13" s="71">
        <f>[2]O1!E18+[2]O2!E18+[2]O5!E18+[2]O6!E18+[2]SDL!E18</f>
        <v>0</v>
      </c>
      <c r="F13" s="71">
        <f>[2]O1!F18+[2]O2!F18+[2]O5!F18+[2]O6!F18+[2]SDL!F18</f>
        <v>0</v>
      </c>
      <c r="G13" s="71">
        <f>[2]O1!G18+[2]O2!G18+[2]O5!G18+[2]O6!G18+[2]SDL!G18</f>
        <v>0</v>
      </c>
      <c r="H13" s="71">
        <f>[2]O1!H18+[2]O2!H18+[2]O5!H18+[2]O6!H18+[2]SDL!H18</f>
        <v>0</v>
      </c>
      <c r="I13" s="71">
        <f>[2]O1!I18+[2]O2!I18+[2]O5!I18+[2]O6!I18+[2]SDL!I18</f>
        <v>0</v>
      </c>
      <c r="J13" s="72">
        <f>[2]O1!J18+[2]O2!J18+[2]O5!J18+[2]O6!J18+[2]SDL!J18</f>
        <v>0</v>
      </c>
    </row>
    <row r="14" spans="3:10" ht="15" customHeight="1" thickBot="1">
      <c r="C14" s="56" t="s">
        <v>249</v>
      </c>
      <c r="D14" s="73">
        <f>[2]SDL!D18</f>
        <v>0</v>
      </c>
      <c r="E14" s="67">
        <f>[2]SDL!E18</f>
        <v>0</v>
      </c>
      <c r="F14" s="67">
        <f>[2]SDL!F18</f>
        <v>0</v>
      </c>
      <c r="G14" s="67">
        <f>[2]SDL!G18</f>
        <v>0</v>
      </c>
      <c r="H14" s="67">
        <f>[2]SDL!H18</f>
        <v>0</v>
      </c>
      <c r="I14" s="67">
        <f>[2]SDL!I18</f>
        <v>0</v>
      </c>
      <c r="J14" s="68">
        <f>[2]SDL!J18</f>
        <v>0</v>
      </c>
    </row>
    <row r="15" spans="3:10" ht="15" customHeight="1" thickBot="1">
      <c r="C15" s="69"/>
      <c r="D15" s="69"/>
      <c r="E15" s="69"/>
      <c r="F15" s="69"/>
      <c r="G15" s="69"/>
      <c r="H15" s="69"/>
      <c r="I15" s="69"/>
      <c r="J15" s="69"/>
    </row>
    <row r="16" spans="3:10" ht="15" customHeight="1" thickBot="1">
      <c r="C16" s="74" t="s">
        <v>250</v>
      </c>
      <c r="D16" s="75">
        <f>[2]O1!D20+[2]O2!D20+[2]SDL!D20+[2]O5!D20+[2]O6!D20+(D6*18*7)+(D7*18*7)</f>
        <v>0</v>
      </c>
      <c r="E16" s="75">
        <f>[2]O1!E20+[2]O2!E20+[2]SDL!E20+[2]O5!E20+[2]O6!E20+(E6*18*7)+(E7*18*7)</f>
        <v>0</v>
      </c>
      <c r="F16" s="75">
        <f>[2]O1!F20+[2]O2!F20+[2]SDL!F20+[2]O5!F20+[2]O6!F20+(F6*18*7)+(F7*18*7)</f>
        <v>0</v>
      </c>
      <c r="G16" s="75">
        <f>[2]O1!G20+[2]O2!G20+[2]SDL!G20+[2]O5!G20+[2]O6!G20+(G6*18*7)+(G7*18*7)</f>
        <v>0</v>
      </c>
      <c r="H16" s="75">
        <f>[2]O1!H20+[2]O2!H20+[2]SDL!H20+[2]O5!H20+[2]O6!H20+(H6*18*7)+(H7*18*7)</f>
        <v>0</v>
      </c>
      <c r="I16" s="75">
        <f>[2]O1!I20+[2]O2!I20+[2]SDL!I20+[2]O5!I20+[2]O6!I20+(I6*16*7)+(I7*16*7)</f>
        <v>0</v>
      </c>
      <c r="J16" s="75">
        <f>[2]O1!J20+[2]O2!J20+[2]SDL!J20+[2]O5!J20+[2]O6!J20+(J6*16*7)+(J7*16*7)</f>
        <v>0</v>
      </c>
    </row>
    <row r="17" spans="3:10" ht="15" customHeight="1" thickBot="1">
      <c r="D17" s="76"/>
      <c r="E17" s="76"/>
      <c r="F17" s="76"/>
      <c r="G17" s="76"/>
      <c r="H17" s="76"/>
      <c r="I17" s="76"/>
      <c r="J17" s="76"/>
    </row>
    <row r="18" spans="3:10">
      <c r="C18" s="61" t="s">
        <v>251</v>
      </c>
      <c r="D18" s="70">
        <v>25000</v>
      </c>
      <c r="E18" s="70">
        <v>25000</v>
      </c>
      <c r="F18" s="70">
        <v>23000</v>
      </c>
      <c r="G18" s="70">
        <v>23000</v>
      </c>
      <c r="H18" s="70">
        <v>23000</v>
      </c>
      <c r="I18" s="71">
        <v>13000</v>
      </c>
      <c r="J18" s="72">
        <v>13000</v>
      </c>
    </row>
    <row r="19" spans="3:10" ht="15" customHeight="1" thickBot="1">
      <c r="C19" s="56" t="s">
        <v>252</v>
      </c>
      <c r="D19" s="77">
        <f>(D16-D18)/7/19</f>
        <v>-187.96992481203009</v>
      </c>
      <c r="E19" s="77">
        <f>(E16-E18)/7/19</f>
        <v>-187.96992481203009</v>
      </c>
      <c r="F19" s="77">
        <f>(F16-F18)/7/19</f>
        <v>-172.93233082706766</v>
      </c>
      <c r="G19" s="77">
        <f>(G16-G18)/7/19</f>
        <v>-172.93233082706766</v>
      </c>
      <c r="H19" s="77">
        <f>(H16-H18)/7/19</f>
        <v>-172.93233082706766</v>
      </c>
      <c r="I19" s="78">
        <f>(I16-I18)/11/20</f>
        <v>-59.090909090909086</v>
      </c>
      <c r="J19" s="78">
        <f>(J16-J18)/10/20</f>
        <v>-65</v>
      </c>
    </row>
    <row r="20" spans="3:10" ht="15" customHeight="1" thickBot="1">
      <c r="E20">
        <v>750</v>
      </c>
    </row>
    <row r="21" spans="3:10">
      <c r="C21" s="61" t="s">
        <v>253</v>
      </c>
      <c r="D21" s="79">
        <v>2000</v>
      </c>
      <c r="E21" s="79">
        <v>2000</v>
      </c>
      <c r="F21" s="79">
        <v>0</v>
      </c>
      <c r="G21" s="79">
        <v>500</v>
      </c>
      <c r="H21" s="79">
        <v>500</v>
      </c>
      <c r="I21" s="79">
        <v>0</v>
      </c>
      <c r="J21" s="80">
        <v>0</v>
      </c>
    </row>
    <row r="22" spans="3:10" ht="15" customHeight="1" thickBot="1">
      <c r="C22" s="56" t="s">
        <v>254</v>
      </c>
      <c r="D22" s="81">
        <f>D21/7/14</f>
        <v>20.408163265306122</v>
      </c>
      <c r="E22" s="81">
        <f>E21/7/14</f>
        <v>20.408163265306122</v>
      </c>
      <c r="F22" s="81">
        <f>F21/7/14</f>
        <v>0</v>
      </c>
      <c r="G22" s="81">
        <f>G21/7/14</f>
        <v>5.1020408163265305</v>
      </c>
      <c r="H22" s="81">
        <f>H21/7/15</f>
        <v>4.7619047619047619</v>
      </c>
      <c r="I22" s="81">
        <f>I21/7/15</f>
        <v>0</v>
      </c>
      <c r="J22" s="81">
        <f>J21/7/15</f>
        <v>0</v>
      </c>
    </row>
    <row r="23" spans="3:10" ht="15" customHeight="1" thickBot="1"/>
    <row r="24" spans="3:10" ht="15" customHeight="1" thickBot="1">
      <c r="C24" s="82" t="s">
        <v>255</v>
      </c>
      <c r="D24" s="83">
        <f t="shared" ref="D24:J24" si="0">D19-D22</f>
        <v>-208.3780880773362</v>
      </c>
      <c r="E24" s="84">
        <f t="shared" si="0"/>
        <v>-208.3780880773362</v>
      </c>
      <c r="F24" s="84">
        <f t="shared" si="0"/>
        <v>-172.93233082706766</v>
      </c>
      <c r="G24" s="84">
        <f t="shared" si="0"/>
        <v>-178.03437164339419</v>
      </c>
      <c r="H24" s="84">
        <f t="shared" si="0"/>
        <v>-177.69423558897242</v>
      </c>
      <c r="I24" s="84">
        <f t="shared" si="0"/>
        <v>-59.090909090909086</v>
      </c>
      <c r="J24" s="85">
        <f t="shared" si="0"/>
        <v>-65</v>
      </c>
    </row>
  </sheetData>
  <conditionalFormatting sqref="D24:J24">
    <cfRule type="cellIs" dxfId="1" priority="1" operator="lessThan">
      <formula>0</formula>
    </cfRule>
    <cfRule type="cellIs" dxfId="0" priority="2" operator="greaterThan">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8"/>
  <sheetViews>
    <sheetView workbookViewId="0">
      <selection activeCell="G28" sqref="G28"/>
    </sheetView>
  </sheetViews>
  <sheetFormatPr baseColWidth="10" defaultRowHeight="14.4"/>
  <sheetData>
    <row r="1" spans="1:9">
      <c r="A1" s="61" t="s">
        <v>256</v>
      </c>
      <c r="B1" s="86">
        <v>20.5</v>
      </c>
      <c r="C1" s="69"/>
      <c r="D1" s="69"/>
      <c r="E1" s="69"/>
      <c r="F1" s="69"/>
      <c r="G1" s="69"/>
      <c r="H1" s="69"/>
      <c r="I1" s="69"/>
    </row>
    <row r="2" spans="1:9">
      <c r="A2" s="53" t="s">
        <v>257</v>
      </c>
      <c r="B2" s="87">
        <v>7</v>
      </c>
      <c r="C2" s="69">
        <v>6.83</v>
      </c>
      <c r="D2" s="69"/>
      <c r="E2" s="69"/>
      <c r="F2" s="69"/>
      <c r="G2" s="69"/>
      <c r="H2" s="69"/>
      <c r="I2" s="69"/>
    </row>
    <row r="3" spans="1:9">
      <c r="A3" s="53" t="s">
        <v>258</v>
      </c>
      <c r="B3" s="87">
        <v>11</v>
      </c>
      <c r="C3" s="69"/>
      <c r="D3" s="69"/>
      <c r="E3" s="69"/>
      <c r="F3" s="69"/>
      <c r="G3" s="69"/>
      <c r="H3" s="69"/>
      <c r="I3" s="69"/>
    </row>
    <row r="4" spans="1:9">
      <c r="A4" s="53" t="s">
        <v>259</v>
      </c>
      <c r="B4" s="87">
        <v>10</v>
      </c>
      <c r="C4" s="69"/>
      <c r="D4" s="69"/>
      <c r="E4" s="69"/>
      <c r="F4" s="69"/>
      <c r="G4" s="69"/>
      <c r="H4" s="69"/>
      <c r="I4" s="69"/>
    </row>
    <row r="5" spans="1:9">
      <c r="A5" s="53" t="s">
        <v>260</v>
      </c>
      <c r="B5" s="87">
        <v>9</v>
      </c>
      <c r="C5" s="69"/>
      <c r="D5" s="69"/>
      <c r="E5" s="69"/>
      <c r="F5" s="69"/>
      <c r="G5" s="69"/>
      <c r="H5" s="69"/>
      <c r="I5" s="69"/>
    </row>
    <row r="6" spans="1:9" ht="15" customHeight="1" thickBot="1">
      <c r="A6" s="56" t="s">
        <v>261</v>
      </c>
      <c r="B6" s="88">
        <v>0.1</v>
      </c>
      <c r="C6" s="69">
        <v>0.2</v>
      </c>
      <c r="D6" s="69">
        <v>0.15</v>
      </c>
      <c r="E6" s="69"/>
      <c r="F6" s="69"/>
      <c r="G6" s="69"/>
      <c r="H6" s="69"/>
      <c r="I6" s="69"/>
    </row>
    <row r="7" spans="1:9" ht="15" customHeight="1" thickBot="1">
      <c r="A7" s="69"/>
      <c r="B7" s="69"/>
      <c r="C7" s="69"/>
      <c r="D7" s="69"/>
      <c r="E7" s="69"/>
      <c r="F7" s="69"/>
      <c r="G7" s="69"/>
      <c r="H7" s="69"/>
      <c r="I7" s="69"/>
    </row>
    <row r="8" spans="1:9">
      <c r="A8" s="69"/>
      <c r="B8" s="470" t="s">
        <v>262</v>
      </c>
      <c r="C8" s="471"/>
      <c r="D8" s="471"/>
      <c r="E8" s="471"/>
      <c r="F8" s="471"/>
      <c r="G8" s="471"/>
      <c r="H8" s="471"/>
      <c r="I8" s="472"/>
    </row>
    <row r="9" spans="1:9" ht="15" customHeight="1" thickBot="1">
      <c r="A9" s="69"/>
      <c r="B9" s="473"/>
      <c r="C9" s="474"/>
      <c r="D9" s="474"/>
      <c r="E9" s="474"/>
      <c r="F9" s="474"/>
      <c r="G9" s="474"/>
      <c r="H9" s="474"/>
      <c r="I9" s="475"/>
    </row>
    <row r="10" spans="1:9" ht="15" customHeight="1" thickBot="1">
      <c r="A10" s="69"/>
      <c r="B10" s="89"/>
      <c r="C10" s="90"/>
      <c r="D10" s="91"/>
      <c r="E10" s="91"/>
      <c r="F10" s="91"/>
      <c r="G10" s="91"/>
      <c r="H10" s="92"/>
      <c r="I10" s="93"/>
    </row>
    <row r="11" spans="1:9" ht="15" customHeight="1" thickBot="1">
      <c r="A11" s="69"/>
      <c r="B11" s="61" t="s">
        <v>263</v>
      </c>
      <c r="C11" s="62">
        <v>100</v>
      </c>
      <c r="D11" s="62">
        <v>100</v>
      </c>
      <c r="E11" s="62">
        <v>100</v>
      </c>
      <c r="F11" s="62">
        <v>100</v>
      </c>
      <c r="G11" s="62">
        <v>100</v>
      </c>
      <c r="H11" s="90"/>
      <c r="I11" s="94"/>
    </row>
    <row r="12" spans="1:9">
      <c r="A12" s="69"/>
      <c r="B12" s="53" t="s">
        <v>244</v>
      </c>
      <c r="C12" s="54">
        <v>1</v>
      </c>
      <c r="D12" s="54">
        <v>1</v>
      </c>
      <c r="E12" s="54">
        <v>1</v>
      </c>
      <c r="F12" s="54">
        <v>1</v>
      </c>
      <c r="G12" s="54">
        <v>1</v>
      </c>
      <c r="H12" s="63"/>
      <c r="I12" s="64"/>
    </row>
    <row r="13" spans="1:9" ht="28.8" customHeight="1">
      <c r="A13" s="69"/>
      <c r="B13" s="65" t="s">
        <v>245</v>
      </c>
      <c r="C13" s="54">
        <v>5</v>
      </c>
      <c r="D13" s="54">
        <v>5</v>
      </c>
      <c r="E13" s="54">
        <v>5</v>
      </c>
      <c r="F13" s="54">
        <v>4</v>
      </c>
      <c r="G13" s="54">
        <v>3</v>
      </c>
      <c r="H13" s="55">
        <v>0</v>
      </c>
      <c r="I13" s="66">
        <v>0</v>
      </c>
    </row>
    <row r="14" spans="1:9">
      <c r="A14" s="69"/>
      <c r="B14" s="53" t="s">
        <v>246</v>
      </c>
      <c r="C14" s="54">
        <v>2</v>
      </c>
      <c r="D14" s="54">
        <v>2</v>
      </c>
      <c r="E14" s="54">
        <v>2</v>
      </c>
      <c r="F14" s="54">
        <v>2</v>
      </c>
      <c r="G14" s="54">
        <v>2</v>
      </c>
      <c r="H14" s="55"/>
      <c r="I14" s="66"/>
    </row>
    <row r="15" spans="1:9" ht="15" customHeight="1" thickBot="1">
      <c r="A15" s="69"/>
      <c r="B15" s="95" t="s">
        <v>247</v>
      </c>
      <c r="C15" s="96">
        <v>0</v>
      </c>
      <c r="D15" s="96">
        <v>0</v>
      </c>
      <c r="E15" s="96">
        <v>0</v>
      </c>
      <c r="F15" s="96">
        <v>0</v>
      </c>
      <c r="G15" s="96">
        <v>0</v>
      </c>
      <c r="H15" s="55">
        <v>0</v>
      </c>
      <c r="I15" s="66">
        <v>0</v>
      </c>
    </row>
    <row r="16" spans="1:9" ht="15" customHeight="1" thickBot="1">
      <c r="A16" s="69"/>
      <c r="B16" s="74" t="s">
        <v>248</v>
      </c>
      <c r="C16" s="97">
        <f t="shared" ref="C16:I16" si="0">C11-C12-C13-C14-C15</f>
        <v>92</v>
      </c>
      <c r="D16" s="91">
        <f t="shared" si="0"/>
        <v>92</v>
      </c>
      <c r="E16" s="91">
        <f t="shared" si="0"/>
        <v>92</v>
      </c>
      <c r="F16" s="91">
        <f t="shared" si="0"/>
        <v>93</v>
      </c>
      <c r="G16" s="91">
        <f t="shared" si="0"/>
        <v>94</v>
      </c>
      <c r="H16" s="91">
        <f t="shared" si="0"/>
        <v>0</v>
      </c>
      <c r="I16" s="94">
        <f t="shared" si="0"/>
        <v>0</v>
      </c>
    </row>
    <row r="17" spans="1:9" ht="15" customHeight="1" thickBot="1">
      <c r="A17" s="69"/>
      <c r="B17" s="69"/>
      <c r="C17" s="69"/>
      <c r="D17" s="69"/>
      <c r="E17" s="69"/>
      <c r="F17" s="69"/>
      <c r="G17" s="69"/>
      <c r="H17" s="69"/>
      <c r="I17" s="69"/>
    </row>
    <row r="18" spans="1:9" ht="15" customHeight="1" thickBot="1">
      <c r="A18" s="69"/>
      <c r="B18" s="74" t="s">
        <v>264</v>
      </c>
      <c r="C18" s="97">
        <f>(C16-(C11*$C$7))*$C$2*$C$3</f>
        <v>0</v>
      </c>
      <c r="D18" s="97">
        <f>(D16-(D11*$C$7))*$C$2*$C$3</f>
        <v>0</v>
      </c>
      <c r="E18" s="97">
        <f>(E16-(E11*$C$7))*$C$2*$C$3</f>
        <v>0</v>
      </c>
      <c r="F18" s="97">
        <f>(F16-(F11*$C$7))*$C$2*$C$3</f>
        <v>0</v>
      </c>
      <c r="G18" s="97">
        <f>(G16-(G11*$C$7))*$C$2*$C$3</f>
        <v>0</v>
      </c>
      <c r="H18" s="91">
        <f>(H16-(H16*$C$7))*$C$2*$C$3</f>
        <v>0</v>
      </c>
      <c r="I18" s="94">
        <f>(I16-(I16*$C$7))*$C$2*$C$3</f>
        <v>0</v>
      </c>
    </row>
  </sheetData>
  <mergeCells count="1">
    <mergeCell ref="B8:I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8"/>
  <sheetViews>
    <sheetView workbookViewId="0">
      <selection activeCell="J29" sqref="J29"/>
    </sheetView>
  </sheetViews>
  <sheetFormatPr baseColWidth="10" defaultRowHeight="14.4"/>
  <sheetData>
    <row r="1" spans="1:9">
      <c r="A1" s="61" t="s">
        <v>256</v>
      </c>
      <c r="B1" s="86">
        <v>20.5</v>
      </c>
      <c r="C1" s="69"/>
      <c r="D1" s="69"/>
      <c r="E1" s="69"/>
      <c r="F1" s="69"/>
      <c r="G1" s="69"/>
      <c r="H1" s="69"/>
      <c r="I1" s="69"/>
    </row>
    <row r="2" spans="1:9">
      <c r="A2" s="53" t="s">
        <v>257</v>
      </c>
      <c r="B2" s="87">
        <v>7</v>
      </c>
      <c r="C2" s="69">
        <v>6.83</v>
      </c>
      <c r="D2" s="69"/>
      <c r="E2" s="69"/>
      <c r="F2" s="69"/>
      <c r="G2" s="69"/>
      <c r="H2" s="69"/>
      <c r="I2" s="69"/>
    </row>
    <row r="3" spans="1:9">
      <c r="A3" s="53" t="s">
        <v>258</v>
      </c>
      <c r="B3" s="87">
        <v>11</v>
      </c>
      <c r="C3" s="69"/>
      <c r="D3" s="69"/>
      <c r="E3" s="69"/>
      <c r="F3" s="69"/>
      <c r="G3" s="69"/>
      <c r="H3" s="69"/>
      <c r="I3" s="69"/>
    </row>
    <row r="4" spans="1:9">
      <c r="A4" s="53" t="s">
        <v>259</v>
      </c>
      <c r="B4" s="87">
        <v>10</v>
      </c>
      <c r="C4" s="69"/>
      <c r="D4" s="69"/>
      <c r="E4" s="69"/>
      <c r="F4" s="69"/>
      <c r="G4" s="69"/>
      <c r="H4" s="69"/>
      <c r="I4" s="69"/>
    </row>
    <row r="5" spans="1:9">
      <c r="A5" s="53" t="s">
        <v>260</v>
      </c>
      <c r="B5" s="87">
        <v>9</v>
      </c>
      <c r="C5" s="69"/>
      <c r="D5" s="69"/>
      <c r="E5" s="69"/>
      <c r="F5" s="69"/>
      <c r="G5" s="69"/>
      <c r="H5" s="69"/>
      <c r="I5" s="69"/>
    </row>
    <row r="6" spans="1:9" ht="15" customHeight="1" thickBot="1">
      <c r="A6" s="56" t="s">
        <v>261</v>
      </c>
      <c r="B6" s="88">
        <v>0.1</v>
      </c>
      <c r="C6" s="69">
        <v>0.2</v>
      </c>
      <c r="D6" s="69">
        <v>0.15</v>
      </c>
      <c r="E6" s="69"/>
      <c r="F6" s="69"/>
      <c r="G6" s="69"/>
      <c r="H6" s="69"/>
      <c r="I6" s="69"/>
    </row>
    <row r="7" spans="1:9" ht="15" customHeight="1" thickBot="1">
      <c r="A7" s="69"/>
      <c r="B7" s="69"/>
      <c r="C7" s="69"/>
      <c r="D7" s="69"/>
      <c r="E7" s="69"/>
      <c r="F7" s="69"/>
      <c r="G7" s="69"/>
      <c r="H7" s="69"/>
      <c r="I7" s="69"/>
    </row>
    <row r="8" spans="1:9">
      <c r="A8" s="69"/>
      <c r="B8" s="470" t="s">
        <v>262</v>
      </c>
      <c r="C8" s="471"/>
      <c r="D8" s="471"/>
      <c r="E8" s="471"/>
      <c r="F8" s="471"/>
      <c r="G8" s="471"/>
      <c r="H8" s="471"/>
      <c r="I8" s="472"/>
    </row>
    <row r="9" spans="1:9" ht="15" customHeight="1" thickBot="1">
      <c r="A9" s="69"/>
      <c r="B9" s="473"/>
      <c r="C9" s="474"/>
      <c r="D9" s="474"/>
      <c r="E9" s="474"/>
      <c r="F9" s="474"/>
      <c r="G9" s="474"/>
      <c r="H9" s="474"/>
      <c r="I9" s="475"/>
    </row>
    <row r="10" spans="1:9" ht="15" customHeight="1" thickBot="1">
      <c r="A10" s="69"/>
      <c r="B10" s="89"/>
      <c r="C10" s="90"/>
      <c r="D10" s="91"/>
      <c r="E10" s="91"/>
      <c r="F10" s="91"/>
      <c r="G10" s="91"/>
      <c r="H10" s="92"/>
      <c r="I10" s="93"/>
    </row>
    <row r="11" spans="1:9" ht="15" customHeight="1" thickBot="1">
      <c r="A11" s="69"/>
      <c r="B11" s="61" t="s">
        <v>263</v>
      </c>
      <c r="C11" s="62">
        <v>100</v>
      </c>
      <c r="D11" s="62">
        <v>100</v>
      </c>
      <c r="E11" s="62">
        <v>100</v>
      </c>
      <c r="F11" s="62">
        <v>100</v>
      </c>
      <c r="G11" s="62">
        <v>100</v>
      </c>
      <c r="H11" s="90"/>
      <c r="I11" s="94"/>
    </row>
    <row r="12" spans="1:9">
      <c r="A12" s="69"/>
      <c r="B12" s="53" t="s">
        <v>244</v>
      </c>
      <c r="C12" s="54">
        <v>1</v>
      </c>
      <c r="D12" s="54">
        <v>1</v>
      </c>
      <c r="E12" s="54">
        <v>1</v>
      </c>
      <c r="F12" s="54">
        <v>1</v>
      </c>
      <c r="G12" s="54">
        <v>1</v>
      </c>
      <c r="H12" s="63"/>
      <c r="I12" s="64"/>
    </row>
    <row r="13" spans="1:9" ht="28.8" customHeight="1">
      <c r="A13" s="69"/>
      <c r="B13" s="65" t="s">
        <v>245</v>
      </c>
      <c r="C13" s="54">
        <v>5</v>
      </c>
      <c r="D13" s="54">
        <v>5</v>
      </c>
      <c r="E13" s="54">
        <v>5</v>
      </c>
      <c r="F13" s="54">
        <v>4</v>
      </c>
      <c r="G13" s="54">
        <v>3</v>
      </c>
      <c r="H13" s="55">
        <v>0</v>
      </c>
      <c r="I13" s="66">
        <v>0</v>
      </c>
    </row>
    <row r="14" spans="1:9">
      <c r="A14" s="69"/>
      <c r="B14" s="53" t="s">
        <v>246</v>
      </c>
      <c r="C14" s="54">
        <v>2</v>
      </c>
      <c r="D14" s="54">
        <v>2</v>
      </c>
      <c r="E14" s="54">
        <v>2</v>
      </c>
      <c r="F14" s="54">
        <v>2</v>
      </c>
      <c r="G14" s="54">
        <v>2</v>
      </c>
      <c r="H14" s="55"/>
      <c r="I14" s="66"/>
    </row>
    <row r="15" spans="1:9" ht="15" customHeight="1" thickBot="1">
      <c r="A15" s="69"/>
      <c r="B15" s="95" t="s">
        <v>247</v>
      </c>
      <c r="C15" s="96">
        <v>0</v>
      </c>
      <c r="D15" s="96">
        <v>0</v>
      </c>
      <c r="E15" s="96">
        <v>0</v>
      </c>
      <c r="F15" s="96">
        <v>0</v>
      </c>
      <c r="G15" s="96">
        <v>0</v>
      </c>
      <c r="H15" s="55">
        <v>0</v>
      </c>
      <c r="I15" s="66">
        <v>0</v>
      </c>
    </row>
    <row r="16" spans="1:9" ht="15" customHeight="1" thickBot="1">
      <c r="A16" s="69"/>
      <c r="B16" s="74" t="s">
        <v>248</v>
      </c>
      <c r="C16" s="97">
        <f t="shared" ref="C16:I16" si="0">C11-C12-C13-C14-C15</f>
        <v>92</v>
      </c>
      <c r="D16" s="91">
        <f t="shared" si="0"/>
        <v>92</v>
      </c>
      <c r="E16" s="91">
        <f t="shared" si="0"/>
        <v>92</v>
      </c>
      <c r="F16" s="91">
        <f t="shared" si="0"/>
        <v>93</v>
      </c>
      <c r="G16" s="91">
        <f t="shared" si="0"/>
        <v>94</v>
      </c>
      <c r="H16" s="91">
        <f t="shared" si="0"/>
        <v>0</v>
      </c>
      <c r="I16" s="94">
        <f t="shared" si="0"/>
        <v>0</v>
      </c>
    </row>
    <row r="17" spans="1:9" ht="15" customHeight="1" thickBot="1">
      <c r="A17" s="69"/>
      <c r="B17" s="69"/>
      <c r="C17" s="69"/>
      <c r="D17" s="69"/>
      <c r="E17" s="69"/>
      <c r="F17" s="69"/>
      <c r="G17" s="69"/>
      <c r="H17" s="69"/>
      <c r="I17" s="69"/>
    </row>
    <row r="18" spans="1:9" ht="15" customHeight="1" thickBot="1">
      <c r="A18" s="69"/>
      <c r="B18" s="74" t="s">
        <v>264</v>
      </c>
      <c r="C18" s="97">
        <f>(C16-(C11*$C$7))*$C$2*$C$3</f>
        <v>0</v>
      </c>
      <c r="D18" s="97">
        <f>(D16-(D11*$C$7))*$C$2*$C$3</f>
        <v>0</v>
      </c>
      <c r="E18" s="97">
        <f>(E16-(E11*$C$7))*$C$2*$C$3</f>
        <v>0</v>
      </c>
      <c r="F18" s="97">
        <f>(F16-(F11*$C$7))*$C$2*$C$3</f>
        <v>0</v>
      </c>
      <c r="G18" s="97">
        <f>(G16-(G11*$C$7))*$C$2*$C$3</f>
        <v>0</v>
      </c>
      <c r="H18" s="91">
        <f>(H16-(H16*$C$7))*$C$2*$C$3</f>
        <v>0</v>
      </c>
      <c r="I18" s="94">
        <f>(I16-(I16*$C$7))*$C$2*$C$3</f>
        <v>0</v>
      </c>
    </row>
  </sheetData>
  <mergeCells count="1">
    <mergeCell ref="B8:I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7DE45-4081-494A-A7F1-66BA016F8A46}">
  <dimension ref="A1:T33"/>
  <sheetViews>
    <sheetView workbookViewId="0">
      <selection activeCell="C15" sqref="C15"/>
    </sheetView>
  </sheetViews>
  <sheetFormatPr baseColWidth="10" defaultRowHeight="14.4"/>
  <sheetData>
    <row r="1" spans="1:20">
      <c r="A1" s="163" t="s">
        <v>145</v>
      </c>
      <c r="B1" s="164" t="s">
        <v>292</v>
      </c>
      <c r="C1" s="164" t="s">
        <v>28</v>
      </c>
      <c r="D1" s="163">
        <v>37</v>
      </c>
      <c r="E1" s="163">
        <v>38</v>
      </c>
      <c r="F1" s="163">
        <v>39</v>
      </c>
      <c r="G1" s="163">
        <v>40</v>
      </c>
      <c r="H1" s="163">
        <v>41</v>
      </c>
      <c r="I1" s="163">
        <v>42</v>
      </c>
      <c r="J1" s="163">
        <v>43</v>
      </c>
      <c r="K1" s="163">
        <v>44</v>
      </c>
      <c r="L1" s="163">
        <v>45</v>
      </c>
      <c r="M1" s="163">
        <v>46</v>
      </c>
      <c r="N1" s="163">
        <v>47</v>
      </c>
      <c r="O1" s="163">
        <v>48</v>
      </c>
      <c r="P1" s="163">
        <v>49</v>
      </c>
      <c r="Q1" s="163">
        <v>50</v>
      </c>
      <c r="R1" s="163">
        <v>51</v>
      </c>
      <c r="S1" s="163">
        <v>52</v>
      </c>
      <c r="T1" s="163">
        <v>53</v>
      </c>
    </row>
    <row r="2" spans="1:20">
      <c r="A2" s="163" t="s">
        <v>293</v>
      </c>
      <c r="B2" s="164" t="s">
        <v>294</v>
      </c>
      <c r="C2" s="164" t="s">
        <v>294</v>
      </c>
      <c r="D2" s="163">
        <v>52788.899833611773</v>
      </c>
      <c r="E2" s="163">
        <v>109539.9040561244</v>
      </c>
      <c r="F2" s="163">
        <v>161232.92876983003</v>
      </c>
      <c r="G2" s="163">
        <v>223944.63304665033</v>
      </c>
      <c r="H2" s="163">
        <v>233870.43924913151</v>
      </c>
      <c r="I2" s="163">
        <v>308313.41893986752</v>
      </c>
      <c r="J2" s="163">
        <v>288193.07777115988</v>
      </c>
      <c r="K2" s="163">
        <v>242370.31093333627</v>
      </c>
      <c r="L2" s="163">
        <v>274292.15542740992</v>
      </c>
      <c r="M2" s="163">
        <v>281989.90316814301</v>
      </c>
      <c r="N2" s="163">
        <v>321290.91532932001</v>
      </c>
      <c r="O2" s="163">
        <v>300453.58996184188</v>
      </c>
      <c r="P2" s="163">
        <v>288451.38027685287</v>
      </c>
      <c r="Q2" s="163">
        <v>273646.15831021359</v>
      </c>
      <c r="R2" s="163">
        <v>211276.61364554949</v>
      </c>
      <c r="S2" s="163">
        <v>247365.21235759673</v>
      </c>
      <c r="T2" s="163">
        <v>231699.69852570689</v>
      </c>
    </row>
    <row r="3" spans="1:20">
      <c r="A3" s="99" t="s">
        <v>279</v>
      </c>
      <c r="B3" s="165">
        <v>0.6</v>
      </c>
      <c r="C3" s="166" t="s">
        <v>295</v>
      </c>
      <c r="D3" s="99">
        <f>D$2*$B3</f>
        <v>31673.339900167062</v>
      </c>
      <c r="E3" s="99">
        <f>E$2*$B3</f>
        <v>65723.942433674645</v>
      </c>
      <c r="F3" s="99">
        <f t="shared" ref="F3:T12" si="0">F$2*$B3</f>
        <v>96739.757261898019</v>
      </c>
      <c r="G3" s="99">
        <f t="shared" si="0"/>
        <v>134366.77982799019</v>
      </c>
      <c r="H3" s="99">
        <f t="shared" si="0"/>
        <v>140322.2635494789</v>
      </c>
      <c r="I3" s="99">
        <f t="shared" si="0"/>
        <v>184988.0513639205</v>
      </c>
      <c r="J3" s="99">
        <f t="shared" si="0"/>
        <v>172915.84666269593</v>
      </c>
      <c r="K3" s="99">
        <f t="shared" si="0"/>
        <v>145422.18656000175</v>
      </c>
      <c r="L3" s="99">
        <f t="shared" si="0"/>
        <v>164575.29325644593</v>
      </c>
      <c r="M3" s="99">
        <f t="shared" si="0"/>
        <v>169193.94190088581</v>
      </c>
      <c r="N3" s="99">
        <f t="shared" si="0"/>
        <v>192774.54919759199</v>
      </c>
      <c r="O3" s="99">
        <f t="shared" si="0"/>
        <v>180272.15397710513</v>
      </c>
      <c r="P3" s="99">
        <f t="shared" si="0"/>
        <v>173070.82816611172</v>
      </c>
      <c r="Q3" s="99">
        <f t="shared" si="0"/>
        <v>164187.69498612816</v>
      </c>
      <c r="R3" s="99">
        <f t="shared" si="0"/>
        <v>126765.96818732968</v>
      </c>
      <c r="S3" s="99">
        <f t="shared" si="0"/>
        <v>148419.12741455802</v>
      </c>
      <c r="T3" s="99">
        <f t="shared" si="0"/>
        <v>139019.81911542412</v>
      </c>
    </row>
    <row r="4" spans="1:20">
      <c r="A4" s="99" t="s">
        <v>280</v>
      </c>
      <c r="B4" s="165">
        <v>0.3</v>
      </c>
      <c r="C4" s="166" t="s">
        <v>295</v>
      </c>
      <c r="D4" s="99">
        <f t="shared" ref="D4:S12" si="1">D$2*$B4</f>
        <v>15836.669950083531</v>
      </c>
      <c r="E4" s="99">
        <f t="shared" si="1"/>
        <v>32861.971216837323</v>
      </c>
      <c r="F4" s="99">
        <f t="shared" si="1"/>
        <v>48369.87863094901</v>
      </c>
      <c r="G4" s="99">
        <f t="shared" si="1"/>
        <v>67183.389913995095</v>
      </c>
      <c r="H4" s="99">
        <f t="shared" si="1"/>
        <v>70161.13177473945</v>
      </c>
      <c r="I4" s="99">
        <f t="shared" si="1"/>
        <v>92494.025681960251</v>
      </c>
      <c r="J4" s="99">
        <f t="shared" si="1"/>
        <v>86457.923331347964</v>
      </c>
      <c r="K4" s="99">
        <f t="shared" si="1"/>
        <v>72711.093280000874</v>
      </c>
      <c r="L4" s="99">
        <f t="shared" si="1"/>
        <v>82287.646628222967</v>
      </c>
      <c r="M4" s="99">
        <f t="shared" si="1"/>
        <v>84596.970950442905</v>
      </c>
      <c r="N4" s="99">
        <f t="shared" si="1"/>
        <v>96387.274598795993</v>
      </c>
      <c r="O4" s="99">
        <f t="shared" si="1"/>
        <v>90136.076988552566</v>
      </c>
      <c r="P4" s="99">
        <f t="shared" si="1"/>
        <v>86535.414083055861</v>
      </c>
      <c r="Q4" s="99">
        <f t="shared" si="1"/>
        <v>82093.84749306408</v>
      </c>
      <c r="R4" s="99">
        <f t="shared" si="1"/>
        <v>63382.98409366484</v>
      </c>
      <c r="S4" s="99">
        <f t="shared" si="1"/>
        <v>74209.563707279012</v>
      </c>
      <c r="T4" s="99">
        <f t="shared" si="0"/>
        <v>69509.909557712061</v>
      </c>
    </row>
    <row r="5" spans="1:20">
      <c r="A5" s="99" t="s">
        <v>281</v>
      </c>
      <c r="B5" s="165">
        <v>0.05</v>
      </c>
      <c r="C5" s="166" t="s">
        <v>295</v>
      </c>
      <c r="D5" s="99">
        <f t="shared" si="1"/>
        <v>2639.4449916805888</v>
      </c>
      <c r="E5" s="99">
        <f t="shared" si="1"/>
        <v>5476.9952028062207</v>
      </c>
      <c r="F5" s="99">
        <f t="shared" si="0"/>
        <v>8061.6464384915016</v>
      </c>
      <c r="G5" s="99">
        <f t="shared" si="0"/>
        <v>11197.231652332517</v>
      </c>
      <c r="H5" s="99">
        <f t="shared" si="0"/>
        <v>11693.521962456576</v>
      </c>
      <c r="I5" s="99">
        <f t="shared" si="0"/>
        <v>15415.670946993378</v>
      </c>
      <c r="J5" s="99">
        <f t="shared" si="0"/>
        <v>14409.653888557994</v>
      </c>
      <c r="K5" s="99">
        <f t="shared" si="0"/>
        <v>12118.515546666815</v>
      </c>
      <c r="L5" s="99">
        <f t="shared" si="0"/>
        <v>13714.607771370496</v>
      </c>
      <c r="M5" s="99">
        <f t="shared" si="0"/>
        <v>14099.495158407151</v>
      </c>
      <c r="N5" s="99">
        <f t="shared" si="0"/>
        <v>16064.545766466001</v>
      </c>
      <c r="O5" s="99">
        <f t="shared" si="0"/>
        <v>15022.679498092095</v>
      </c>
      <c r="P5" s="99">
        <f t="shared" si="0"/>
        <v>14422.569013842643</v>
      </c>
      <c r="Q5" s="99">
        <f t="shared" si="0"/>
        <v>13682.307915510681</v>
      </c>
      <c r="R5" s="99">
        <f t="shared" si="0"/>
        <v>10563.830682277476</v>
      </c>
      <c r="S5" s="99">
        <f t="shared" si="0"/>
        <v>12368.260617879838</v>
      </c>
      <c r="T5" s="99">
        <f t="shared" si="0"/>
        <v>11584.984926285346</v>
      </c>
    </row>
    <row r="6" spans="1:20">
      <c r="A6" s="99" t="s">
        <v>282</v>
      </c>
      <c r="B6" s="165">
        <v>0.05</v>
      </c>
      <c r="C6" s="166" t="s">
        <v>295</v>
      </c>
      <c r="D6" s="99">
        <f t="shared" si="1"/>
        <v>2639.4449916805888</v>
      </c>
      <c r="E6" s="99">
        <f t="shared" si="1"/>
        <v>5476.9952028062207</v>
      </c>
      <c r="F6" s="99">
        <f t="shared" si="0"/>
        <v>8061.6464384915016</v>
      </c>
      <c r="G6" s="99">
        <f t="shared" si="0"/>
        <v>11197.231652332517</v>
      </c>
      <c r="H6" s="99">
        <f t="shared" si="0"/>
        <v>11693.521962456576</v>
      </c>
      <c r="I6" s="99">
        <f t="shared" si="0"/>
        <v>15415.670946993378</v>
      </c>
      <c r="J6" s="99">
        <f t="shared" si="0"/>
        <v>14409.653888557994</v>
      </c>
      <c r="K6" s="99">
        <f t="shared" si="0"/>
        <v>12118.515546666815</v>
      </c>
      <c r="L6" s="99">
        <f t="shared" si="0"/>
        <v>13714.607771370496</v>
      </c>
      <c r="M6" s="99">
        <f t="shared" si="0"/>
        <v>14099.495158407151</v>
      </c>
      <c r="N6" s="99">
        <f t="shared" si="0"/>
        <v>16064.545766466001</v>
      </c>
      <c r="O6" s="99">
        <f t="shared" si="0"/>
        <v>15022.679498092095</v>
      </c>
      <c r="P6" s="99">
        <f t="shared" si="0"/>
        <v>14422.569013842643</v>
      </c>
      <c r="Q6" s="99">
        <f t="shared" si="0"/>
        <v>13682.307915510681</v>
      </c>
      <c r="R6" s="99">
        <f t="shared" si="0"/>
        <v>10563.830682277476</v>
      </c>
      <c r="S6" s="99">
        <f t="shared" si="0"/>
        <v>12368.260617879838</v>
      </c>
      <c r="T6" s="99">
        <f t="shared" si="0"/>
        <v>11584.984926285346</v>
      </c>
    </row>
    <row r="7" spans="1:20">
      <c r="A7" s="99" t="s">
        <v>283</v>
      </c>
      <c r="B7" s="165">
        <v>0.1</v>
      </c>
      <c r="C7" s="166" t="s">
        <v>295</v>
      </c>
      <c r="D7" s="99">
        <f t="shared" si="1"/>
        <v>5278.8899833611777</v>
      </c>
      <c r="E7" s="99">
        <f t="shared" si="1"/>
        <v>10953.990405612441</v>
      </c>
      <c r="F7" s="99">
        <f t="shared" si="0"/>
        <v>16123.292876983003</v>
      </c>
      <c r="G7" s="99">
        <f t="shared" si="0"/>
        <v>22394.463304665034</v>
      </c>
      <c r="H7" s="99">
        <f t="shared" si="0"/>
        <v>23387.043924913152</v>
      </c>
      <c r="I7" s="99">
        <f t="shared" si="0"/>
        <v>30831.341893986755</v>
      </c>
      <c r="J7" s="99">
        <f t="shared" si="0"/>
        <v>28819.307777115988</v>
      </c>
      <c r="K7" s="99">
        <f t="shared" si="0"/>
        <v>24237.03109333363</v>
      </c>
      <c r="L7" s="99">
        <f t="shared" si="0"/>
        <v>27429.215542740993</v>
      </c>
      <c r="M7" s="99">
        <f t="shared" si="0"/>
        <v>28198.990316814303</v>
      </c>
      <c r="N7" s="99">
        <f t="shared" si="0"/>
        <v>32129.091532932001</v>
      </c>
      <c r="O7" s="99">
        <f t="shared" si="0"/>
        <v>30045.35899618419</v>
      </c>
      <c r="P7" s="99">
        <f t="shared" si="0"/>
        <v>28845.138027685287</v>
      </c>
      <c r="Q7" s="99">
        <f t="shared" si="0"/>
        <v>27364.615831021361</v>
      </c>
      <c r="R7" s="99">
        <f t="shared" si="0"/>
        <v>21127.661364554951</v>
      </c>
      <c r="S7" s="99">
        <f t="shared" si="0"/>
        <v>24736.521235759676</v>
      </c>
      <c r="T7" s="99">
        <f t="shared" si="0"/>
        <v>23169.969852570692</v>
      </c>
    </row>
    <row r="8" spans="1:20">
      <c r="A8" s="99" t="s">
        <v>284</v>
      </c>
      <c r="B8" s="165">
        <v>0.09</v>
      </c>
      <c r="C8" s="166" t="s">
        <v>295</v>
      </c>
      <c r="D8" s="99">
        <f t="shared" si="1"/>
        <v>4751.000985025059</v>
      </c>
      <c r="E8" s="99">
        <f t="shared" si="1"/>
        <v>9858.5913650511957</v>
      </c>
      <c r="F8" s="99">
        <f t="shared" si="0"/>
        <v>14510.963589284702</v>
      </c>
      <c r="G8" s="99">
        <f t="shared" si="0"/>
        <v>20155.01697419853</v>
      </c>
      <c r="H8" s="99">
        <f t="shared" si="0"/>
        <v>21048.339532421836</v>
      </c>
      <c r="I8" s="99">
        <f t="shared" si="0"/>
        <v>27748.207704588076</v>
      </c>
      <c r="J8" s="99">
        <f t="shared" si="0"/>
        <v>25937.376999404387</v>
      </c>
      <c r="K8" s="99">
        <f t="shared" si="0"/>
        <v>21813.327984000261</v>
      </c>
      <c r="L8" s="99">
        <f t="shared" si="0"/>
        <v>24686.293988466892</v>
      </c>
      <c r="M8" s="99">
        <f t="shared" si="0"/>
        <v>25379.091285132869</v>
      </c>
      <c r="N8" s="99">
        <f t="shared" si="0"/>
        <v>28916.182379638798</v>
      </c>
      <c r="O8" s="99">
        <f t="shared" si="0"/>
        <v>27040.823096565768</v>
      </c>
      <c r="P8" s="99">
        <f t="shared" si="0"/>
        <v>25960.624224916759</v>
      </c>
      <c r="Q8" s="99">
        <f t="shared" si="0"/>
        <v>24628.154247919221</v>
      </c>
      <c r="R8" s="99">
        <f t="shared" si="0"/>
        <v>19014.895228099453</v>
      </c>
      <c r="S8" s="99">
        <f t="shared" si="0"/>
        <v>22262.869112183704</v>
      </c>
      <c r="T8" s="99">
        <f t="shared" si="0"/>
        <v>20852.97286731362</v>
      </c>
    </row>
    <row r="9" spans="1:20">
      <c r="A9" s="99" t="s">
        <v>285</v>
      </c>
      <c r="B9" s="165">
        <v>0.05</v>
      </c>
      <c r="C9" s="166" t="s">
        <v>295</v>
      </c>
      <c r="D9" s="99">
        <f t="shared" si="1"/>
        <v>2639.4449916805888</v>
      </c>
      <c r="E9" s="99">
        <f t="shared" si="1"/>
        <v>5476.9952028062207</v>
      </c>
      <c r="F9" s="99">
        <f t="shared" si="0"/>
        <v>8061.6464384915016</v>
      </c>
      <c r="G9" s="99">
        <f t="shared" si="0"/>
        <v>11197.231652332517</v>
      </c>
      <c r="H9" s="99">
        <f t="shared" si="0"/>
        <v>11693.521962456576</v>
      </c>
      <c r="I9" s="99">
        <f t="shared" si="0"/>
        <v>15415.670946993378</v>
      </c>
      <c r="J9" s="99">
        <f t="shared" si="0"/>
        <v>14409.653888557994</v>
      </c>
      <c r="K9" s="99">
        <f t="shared" si="0"/>
        <v>12118.515546666815</v>
      </c>
      <c r="L9" s="99">
        <f t="shared" si="0"/>
        <v>13714.607771370496</v>
      </c>
      <c r="M9" s="99">
        <f t="shared" si="0"/>
        <v>14099.495158407151</v>
      </c>
      <c r="N9" s="99">
        <f t="shared" si="0"/>
        <v>16064.545766466001</v>
      </c>
      <c r="O9" s="99">
        <f t="shared" si="0"/>
        <v>15022.679498092095</v>
      </c>
      <c r="P9" s="99">
        <f t="shared" si="0"/>
        <v>14422.569013842643</v>
      </c>
      <c r="Q9" s="99">
        <f t="shared" si="0"/>
        <v>13682.307915510681</v>
      </c>
      <c r="R9" s="99">
        <f t="shared" si="0"/>
        <v>10563.830682277476</v>
      </c>
      <c r="S9" s="99">
        <f t="shared" si="0"/>
        <v>12368.260617879838</v>
      </c>
      <c r="T9" s="99">
        <f t="shared" si="0"/>
        <v>11584.984926285346</v>
      </c>
    </row>
    <row r="10" spans="1:20">
      <c r="A10" s="99" t="s">
        <v>66</v>
      </c>
      <c r="B10" s="165">
        <v>0.01</v>
      </c>
      <c r="C10" s="166" t="s">
        <v>295</v>
      </c>
      <c r="D10" s="99">
        <f t="shared" si="1"/>
        <v>527.88899833611777</v>
      </c>
      <c r="E10" s="99">
        <f t="shared" si="1"/>
        <v>1095.399040561244</v>
      </c>
      <c r="F10" s="99">
        <f t="shared" si="0"/>
        <v>1612.3292876983003</v>
      </c>
      <c r="G10" s="99">
        <f t="shared" si="0"/>
        <v>2239.4463304665032</v>
      </c>
      <c r="H10" s="99">
        <f t="shared" si="0"/>
        <v>2338.704392491315</v>
      </c>
      <c r="I10" s="99">
        <f t="shared" si="0"/>
        <v>3083.1341893986755</v>
      </c>
      <c r="J10" s="99">
        <f t="shared" si="0"/>
        <v>2881.9307777115987</v>
      </c>
      <c r="K10" s="99">
        <f t="shared" si="0"/>
        <v>2423.7031093333626</v>
      </c>
      <c r="L10" s="99">
        <f t="shared" si="0"/>
        <v>2742.9215542740994</v>
      </c>
      <c r="M10" s="99">
        <f t="shared" si="0"/>
        <v>2819.8990316814302</v>
      </c>
      <c r="N10" s="99">
        <f t="shared" si="0"/>
        <v>3212.9091532932002</v>
      </c>
      <c r="O10" s="99">
        <f t="shared" si="0"/>
        <v>3004.5358996184186</v>
      </c>
      <c r="P10" s="99">
        <f t="shared" si="0"/>
        <v>2884.5138027685289</v>
      </c>
      <c r="Q10" s="99">
        <f t="shared" si="0"/>
        <v>2736.461583102136</v>
      </c>
      <c r="R10" s="99">
        <f t="shared" si="0"/>
        <v>2112.7661364554947</v>
      </c>
      <c r="S10" s="99">
        <f t="shared" si="0"/>
        <v>2473.6521235759674</v>
      </c>
      <c r="T10" s="99">
        <f t="shared" si="0"/>
        <v>2316.9969852570689</v>
      </c>
    </row>
    <row r="11" spans="1:20">
      <c r="A11" s="99" t="s">
        <v>286</v>
      </c>
      <c r="B11" s="165">
        <v>0.25</v>
      </c>
      <c r="C11" s="166" t="s">
        <v>295</v>
      </c>
      <c r="D11" s="99">
        <f t="shared" si="1"/>
        <v>13197.224958402943</v>
      </c>
      <c r="E11" s="99">
        <f t="shared" si="1"/>
        <v>27384.976014031101</v>
      </c>
      <c r="F11" s="99">
        <f t="shared" si="0"/>
        <v>40308.232192457508</v>
      </c>
      <c r="G11" s="99">
        <f t="shared" si="0"/>
        <v>55986.158261662582</v>
      </c>
      <c r="H11" s="99">
        <f t="shared" si="0"/>
        <v>58467.609812282877</v>
      </c>
      <c r="I11" s="99">
        <f t="shared" si="0"/>
        <v>77078.354734966881</v>
      </c>
      <c r="J11" s="99">
        <f t="shared" si="0"/>
        <v>72048.26944278997</v>
      </c>
      <c r="K11" s="99">
        <f t="shared" si="0"/>
        <v>60592.577733334067</v>
      </c>
      <c r="L11" s="99">
        <f t="shared" si="0"/>
        <v>68573.03885685248</v>
      </c>
      <c r="M11" s="99">
        <f t="shared" si="0"/>
        <v>70497.475792035752</v>
      </c>
      <c r="N11" s="99">
        <f t="shared" si="0"/>
        <v>80322.728832330002</v>
      </c>
      <c r="O11" s="99">
        <f t="shared" si="0"/>
        <v>75113.397490460469</v>
      </c>
      <c r="P11" s="99">
        <f t="shared" si="0"/>
        <v>72112.845069213217</v>
      </c>
      <c r="Q11" s="99">
        <f t="shared" si="0"/>
        <v>68411.539577553398</v>
      </c>
      <c r="R11" s="99">
        <f t="shared" si="0"/>
        <v>52819.153411387371</v>
      </c>
      <c r="S11" s="99">
        <f t="shared" si="0"/>
        <v>61841.303089399182</v>
      </c>
      <c r="T11" s="99">
        <f t="shared" si="0"/>
        <v>57924.924631426722</v>
      </c>
    </row>
    <row r="12" spans="1:20">
      <c r="A12" s="99" t="s">
        <v>62</v>
      </c>
      <c r="B12" s="165">
        <v>0.6</v>
      </c>
      <c r="C12" s="166" t="s">
        <v>295</v>
      </c>
      <c r="D12" s="99">
        <f t="shared" si="1"/>
        <v>31673.339900167062</v>
      </c>
      <c r="E12" s="99">
        <f t="shared" si="1"/>
        <v>65723.942433674645</v>
      </c>
      <c r="F12" s="99">
        <f t="shared" si="0"/>
        <v>96739.757261898019</v>
      </c>
      <c r="G12" s="99">
        <f t="shared" si="0"/>
        <v>134366.77982799019</v>
      </c>
      <c r="H12" s="99">
        <f t="shared" si="0"/>
        <v>140322.2635494789</v>
      </c>
      <c r="I12" s="99">
        <f t="shared" si="0"/>
        <v>184988.0513639205</v>
      </c>
      <c r="J12" s="99">
        <f t="shared" si="0"/>
        <v>172915.84666269593</v>
      </c>
      <c r="K12" s="99">
        <f t="shared" si="0"/>
        <v>145422.18656000175</v>
      </c>
      <c r="L12" s="99">
        <f t="shared" si="0"/>
        <v>164575.29325644593</v>
      </c>
      <c r="M12" s="99">
        <f t="shared" si="0"/>
        <v>169193.94190088581</v>
      </c>
      <c r="N12" s="99">
        <f t="shared" si="0"/>
        <v>192774.54919759199</v>
      </c>
      <c r="O12" s="99">
        <f t="shared" si="0"/>
        <v>180272.15397710513</v>
      </c>
      <c r="P12" s="99">
        <f t="shared" si="0"/>
        <v>173070.82816611172</v>
      </c>
      <c r="Q12" s="99">
        <f t="shared" si="0"/>
        <v>164187.69498612816</v>
      </c>
      <c r="R12" s="99">
        <f t="shared" si="0"/>
        <v>126765.96818732968</v>
      </c>
      <c r="S12" s="99">
        <f t="shared" si="0"/>
        <v>148419.12741455802</v>
      </c>
      <c r="T12" s="99">
        <f t="shared" si="0"/>
        <v>139019.81911542412</v>
      </c>
    </row>
    <row r="13" spans="1:20">
      <c r="A13" s="98" t="s">
        <v>287</v>
      </c>
      <c r="B13" s="167">
        <v>0.60899999999999999</v>
      </c>
      <c r="C13" s="168" t="s">
        <v>296</v>
      </c>
      <c r="D13" s="98">
        <f>D$8*$B13</f>
        <v>2893.3595998802607</v>
      </c>
      <c r="E13" s="98">
        <f>E$8*$B13</f>
        <v>6003.8821413161777</v>
      </c>
      <c r="F13" s="98">
        <f t="shared" ref="F13:T15" si="2">F$8*$B13</f>
        <v>8837.1768258743832</v>
      </c>
      <c r="G13" s="98">
        <f t="shared" si="2"/>
        <v>12274.405337286904</v>
      </c>
      <c r="H13" s="98">
        <f t="shared" si="2"/>
        <v>12818.438775244898</v>
      </c>
      <c r="I13" s="98">
        <f t="shared" si="2"/>
        <v>16898.658492094139</v>
      </c>
      <c r="J13" s="98">
        <f t="shared" si="2"/>
        <v>15795.862592637272</v>
      </c>
      <c r="K13" s="98">
        <f t="shared" si="2"/>
        <v>13284.316742256158</v>
      </c>
      <c r="L13" s="98">
        <f t="shared" si="2"/>
        <v>15033.953038976337</v>
      </c>
      <c r="M13" s="98">
        <f t="shared" si="2"/>
        <v>15455.866592645916</v>
      </c>
      <c r="N13" s="98">
        <f t="shared" si="2"/>
        <v>17609.955069200027</v>
      </c>
      <c r="O13" s="98">
        <f t="shared" si="2"/>
        <v>16467.861265808551</v>
      </c>
      <c r="P13" s="98">
        <f t="shared" si="2"/>
        <v>15810.020152974306</v>
      </c>
      <c r="Q13" s="98">
        <f t="shared" si="2"/>
        <v>14998.545936982806</v>
      </c>
      <c r="R13" s="98">
        <f t="shared" si="2"/>
        <v>11580.071193912567</v>
      </c>
      <c r="S13" s="98">
        <f t="shared" si="2"/>
        <v>13558.087289319876</v>
      </c>
      <c r="T13" s="98">
        <f t="shared" si="2"/>
        <v>12699.460476193994</v>
      </c>
    </row>
    <row r="14" spans="1:20">
      <c r="A14" s="98" t="s">
        <v>288</v>
      </c>
      <c r="B14" s="167">
        <v>0.38800000000000001</v>
      </c>
      <c r="C14" s="168" t="s">
        <v>296</v>
      </c>
      <c r="D14" s="98">
        <f t="shared" ref="D14:S15" si="3">D$8*$B14</f>
        <v>1843.388382189723</v>
      </c>
      <c r="E14" s="98">
        <f t="shared" si="3"/>
        <v>3825.133449639864</v>
      </c>
      <c r="F14" s="98">
        <f t="shared" si="3"/>
        <v>5630.2538726424646</v>
      </c>
      <c r="G14" s="98">
        <f t="shared" si="3"/>
        <v>7820.1465859890295</v>
      </c>
      <c r="H14" s="98">
        <f t="shared" si="3"/>
        <v>8166.7557385796727</v>
      </c>
      <c r="I14" s="98">
        <f t="shared" si="3"/>
        <v>10766.304589380174</v>
      </c>
      <c r="J14" s="98">
        <f t="shared" si="3"/>
        <v>10063.702275768903</v>
      </c>
      <c r="K14" s="98">
        <f t="shared" si="3"/>
        <v>8463.5712577921022</v>
      </c>
      <c r="L14" s="98">
        <f t="shared" si="3"/>
        <v>9578.2820675251551</v>
      </c>
      <c r="M14" s="98">
        <f t="shared" si="3"/>
        <v>9847.0874186315541</v>
      </c>
      <c r="N14" s="98">
        <f t="shared" si="3"/>
        <v>11219.478763299854</v>
      </c>
      <c r="O14" s="98">
        <f t="shared" si="3"/>
        <v>10491.839361467519</v>
      </c>
      <c r="P14" s="98">
        <f t="shared" si="3"/>
        <v>10072.722199267702</v>
      </c>
      <c r="Q14" s="98">
        <f t="shared" si="3"/>
        <v>9555.7238481926579</v>
      </c>
      <c r="R14" s="98">
        <f t="shared" si="3"/>
        <v>7377.7793485025877</v>
      </c>
      <c r="S14" s="98">
        <f t="shared" si="3"/>
        <v>8637.9932155272782</v>
      </c>
      <c r="T14" s="98">
        <f t="shared" si="2"/>
        <v>8090.9534725176845</v>
      </c>
    </row>
    <row r="15" spans="1:20">
      <c r="A15" s="98" t="s">
        <v>289</v>
      </c>
      <c r="B15" s="167">
        <v>3.0000000000000001E-3</v>
      </c>
      <c r="C15" s="168" t="s">
        <v>296</v>
      </c>
      <c r="D15" s="98">
        <f t="shared" si="3"/>
        <v>14.253002955075177</v>
      </c>
      <c r="E15" s="98">
        <f t="shared" si="3"/>
        <v>29.575774095153587</v>
      </c>
      <c r="F15" s="98">
        <f t="shared" si="2"/>
        <v>43.532890767854106</v>
      </c>
      <c r="G15" s="98">
        <f t="shared" si="2"/>
        <v>60.465050922595594</v>
      </c>
      <c r="H15" s="98">
        <f t="shared" si="2"/>
        <v>63.145018597265512</v>
      </c>
      <c r="I15" s="98">
        <f t="shared" si="2"/>
        <v>83.244623113764234</v>
      </c>
      <c r="J15" s="98">
        <f t="shared" si="2"/>
        <v>77.812130998213163</v>
      </c>
      <c r="K15" s="98">
        <f t="shared" si="2"/>
        <v>65.439983952000787</v>
      </c>
      <c r="L15" s="98">
        <f t="shared" si="2"/>
        <v>74.058881965400673</v>
      </c>
      <c r="M15" s="98">
        <f t="shared" si="2"/>
        <v>76.137273855398604</v>
      </c>
      <c r="N15" s="98">
        <f t="shared" si="2"/>
        <v>86.748547138916393</v>
      </c>
      <c r="O15" s="98">
        <f t="shared" si="2"/>
        <v>81.122469289697307</v>
      </c>
      <c r="P15" s="98">
        <f t="shared" si="2"/>
        <v>77.881872674750284</v>
      </c>
      <c r="Q15" s="98">
        <f t="shared" si="2"/>
        <v>73.884462743757666</v>
      </c>
      <c r="R15" s="98">
        <f t="shared" si="2"/>
        <v>57.044685684298358</v>
      </c>
      <c r="S15" s="98">
        <f t="shared" si="2"/>
        <v>66.788607336551109</v>
      </c>
      <c r="T15" s="98">
        <f t="shared" si="2"/>
        <v>62.55891860194086</v>
      </c>
    </row>
    <row r="16" spans="1:20">
      <c r="A16" s="99" t="s">
        <v>290</v>
      </c>
      <c r="B16" s="165">
        <v>0.7</v>
      </c>
      <c r="C16" s="166" t="s">
        <v>295</v>
      </c>
      <c r="D16" s="99">
        <f t="shared" ref="D16:S19" si="4">D$2*$B16</f>
        <v>36952.229883528242</v>
      </c>
      <c r="E16" s="99">
        <f t="shared" si="4"/>
        <v>76677.932839287081</v>
      </c>
      <c r="F16" s="99">
        <f t="shared" si="4"/>
        <v>112863.05013888102</v>
      </c>
      <c r="G16" s="99">
        <f t="shared" si="4"/>
        <v>156761.24313265522</v>
      </c>
      <c r="H16" s="99">
        <f t="shared" si="4"/>
        <v>163709.30747439206</v>
      </c>
      <c r="I16" s="99">
        <f t="shared" si="4"/>
        <v>215819.39325790724</v>
      </c>
      <c r="J16" s="99">
        <f t="shared" si="4"/>
        <v>201735.15443981191</v>
      </c>
      <c r="K16" s="99">
        <f t="shared" si="4"/>
        <v>169659.21765333536</v>
      </c>
      <c r="L16" s="99">
        <f t="shared" si="4"/>
        <v>192004.50879918694</v>
      </c>
      <c r="M16" s="99">
        <f t="shared" si="4"/>
        <v>197392.93221770009</v>
      </c>
      <c r="N16" s="99">
        <f t="shared" si="4"/>
        <v>224903.640730524</v>
      </c>
      <c r="O16" s="99">
        <f t="shared" si="4"/>
        <v>210317.5129732893</v>
      </c>
      <c r="P16" s="99">
        <f t="shared" si="4"/>
        <v>201915.96619379701</v>
      </c>
      <c r="Q16" s="99">
        <f t="shared" si="4"/>
        <v>191552.3108171495</v>
      </c>
      <c r="R16" s="99">
        <f t="shared" si="4"/>
        <v>147893.62955188463</v>
      </c>
      <c r="S16" s="99">
        <f t="shared" si="4"/>
        <v>173155.64865031769</v>
      </c>
      <c r="T16" s="99">
        <f t="shared" ref="F16:T19" si="5">T$2*$B16</f>
        <v>162189.7889679948</v>
      </c>
    </row>
    <row r="17" spans="1:20">
      <c r="A17" s="99" t="s">
        <v>291</v>
      </c>
      <c r="B17" s="165">
        <v>0.3</v>
      </c>
      <c r="C17" s="166" t="s">
        <v>295</v>
      </c>
      <c r="D17" s="99">
        <f t="shared" si="4"/>
        <v>15836.669950083531</v>
      </c>
      <c r="E17" s="99">
        <f t="shared" si="4"/>
        <v>32861.971216837323</v>
      </c>
      <c r="F17" s="99">
        <f t="shared" si="5"/>
        <v>48369.87863094901</v>
      </c>
      <c r="G17" s="99">
        <f t="shared" si="5"/>
        <v>67183.389913995095</v>
      </c>
      <c r="H17" s="99">
        <f t="shared" si="5"/>
        <v>70161.13177473945</v>
      </c>
      <c r="I17" s="99">
        <f t="shared" si="5"/>
        <v>92494.025681960251</v>
      </c>
      <c r="J17" s="99">
        <f t="shared" si="5"/>
        <v>86457.923331347964</v>
      </c>
      <c r="K17" s="99">
        <f t="shared" si="5"/>
        <v>72711.093280000874</v>
      </c>
      <c r="L17" s="99">
        <f t="shared" si="5"/>
        <v>82287.646628222967</v>
      </c>
      <c r="M17" s="99">
        <f t="shared" si="5"/>
        <v>84596.970950442905</v>
      </c>
      <c r="N17" s="99">
        <f t="shared" si="5"/>
        <v>96387.274598795993</v>
      </c>
      <c r="O17" s="99">
        <f t="shared" si="5"/>
        <v>90136.076988552566</v>
      </c>
      <c r="P17" s="99">
        <f t="shared" si="5"/>
        <v>86535.414083055861</v>
      </c>
      <c r="Q17" s="99">
        <f t="shared" si="5"/>
        <v>82093.84749306408</v>
      </c>
      <c r="R17" s="99">
        <f t="shared" si="5"/>
        <v>63382.98409366484</v>
      </c>
      <c r="S17" s="99">
        <f t="shared" si="5"/>
        <v>74209.563707279012</v>
      </c>
      <c r="T17" s="99">
        <f t="shared" si="5"/>
        <v>69509.909557712061</v>
      </c>
    </row>
    <row r="18" spans="1:20">
      <c r="A18" s="99" t="s">
        <v>194</v>
      </c>
      <c r="B18" s="165">
        <v>0.5</v>
      </c>
      <c r="C18" s="166" t="s">
        <v>295</v>
      </c>
      <c r="D18" s="99">
        <f t="shared" si="4"/>
        <v>26394.449916805886</v>
      </c>
      <c r="E18" s="99">
        <f t="shared" si="4"/>
        <v>54769.952028062202</v>
      </c>
      <c r="F18" s="99">
        <f t="shared" si="5"/>
        <v>80616.464384915016</v>
      </c>
      <c r="G18" s="99">
        <f t="shared" si="5"/>
        <v>111972.31652332516</v>
      </c>
      <c r="H18" s="99">
        <f t="shared" si="5"/>
        <v>116935.21962456575</v>
      </c>
      <c r="I18" s="99">
        <f t="shared" si="5"/>
        <v>154156.70946993376</v>
      </c>
      <c r="J18" s="99">
        <f t="shared" si="5"/>
        <v>144096.53888557994</v>
      </c>
      <c r="K18" s="99">
        <f t="shared" si="5"/>
        <v>121185.15546666813</v>
      </c>
      <c r="L18" s="99">
        <f t="shared" si="5"/>
        <v>137146.07771370496</v>
      </c>
      <c r="M18" s="99">
        <f t="shared" si="5"/>
        <v>140994.9515840715</v>
      </c>
      <c r="N18" s="99">
        <f t="shared" si="5"/>
        <v>160645.45766466</v>
      </c>
      <c r="O18" s="99">
        <f t="shared" si="5"/>
        <v>150226.79498092094</v>
      </c>
      <c r="P18" s="99">
        <f t="shared" si="5"/>
        <v>144225.69013842643</v>
      </c>
      <c r="Q18" s="99">
        <f t="shared" si="5"/>
        <v>136823.0791551068</v>
      </c>
      <c r="R18" s="99">
        <f t="shared" si="5"/>
        <v>105638.30682277474</v>
      </c>
      <c r="S18" s="99">
        <f t="shared" si="5"/>
        <v>123682.60617879836</v>
      </c>
      <c r="T18" s="99">
        <f t="shared" si="5"/>
        <v>115849.84926285344</v>
      </c>
    </row>
    <row r="19" spans="1:20">
      <c r="A19" s="99" t="s">
        <v>195</v>
      </c>
      <c r="B19" s="165">
        <v>0.2</v>
      </c>
      <c r="C19" s="166" t="s">
        <v>295</v>
      </c>
      <c r="D19" s="99">
        <f t="shared" si="4"/>
        <v>10557.779966722355</v>
      </c>
      <c r="E19" s="99">
        <f t="shared" si="4"/>
        <v>21907.980811224883</v>
      </c>
      <c r="F19" s="99">
        <f t="shared" si="5"/>
        <v>32246.585753966006</v>
      </c>
      <c r="G19" s="99">
        <f t="shared" si="5"/>
        <v>44788.926609330068</v>
      </c>
      <c r="H19" s="99">
        <f t="shared" si="5"/>
        <v>46774.087849826305</v>
      </c>
      <c r="I19" s="99">
        <f t="shared" si="5"/>
        <v>61662.68378797351</v>
      </c>
      <c r="J19" s="99">
        <f t="shared" si="5"/>
        <v>57638.615554231976</v>
      </c>
      <c r="K19" s="99">
        <f t="shared" si="5"/>
        <v>48474.062186667259</v>
      </c>
      <c r="L19" s="99">
        <f t="shared" si="5"/>
        <v>54858.431085481985</v>
      </c>
      <c r="M19" s="99">
        <f t="shared" si="5"/>
        <v>56397.980633628606</v>
      </c>
      <c r="N19" s="99">
        <f t="shared" si="5"/>
        <v>64258.183065864003</v>
      </c>
      <c r="O19" s="99">
        <f t="shared" si="5"/>
        <v>60090.71799236838</v>
      </c>
      <c r="P19" s="99">
        <f t="shared" si="5"/>
        <v>57690.276055370574</v>
      </c>
      <c r="Q19" s="99">
        <f t="shared" si="5"/>
        <v>54729.231662042723</v>
      </c>
      <c r="R19" s="99">
        <f t="shared" si="5"/>
        <v>42255.322729109903</v>
      </c>
      <c r="S19" s="99">
        <f t="shared" si="5"/>
        <v>49473.042471519351</v>
      </c>
      <c r="T19" s="99">
        <f t="shared" si="5"/>
        <v>46339.939705141383</v>
      </c>
    </row>
    <row r="20" spans="1:20">
      <c r="A20" s="163" t="s">
        <v>297</v>
      </c>
      <c r="B20" s="169" t="s">
        <v>298</v>
      </c>
      <c r="C20" s="164" t="s">
        <v>298</v>
      </c>
      <c r="D20" s="163">
        <v>0</v>
      </c>
      <c r="E20" s="163">
        <v>8212.2832903207891</v>
      </c>
      <c r="F20" s="163">
        <v>22674.02198828803</v>
      </c>
      <c r="G20" s="163">
        <v>44410.203474661503</v>
      </c>
      <c r="H20" s="163">
        <v>95689.110440721255</v>
      </c>
      <c r="I20" s="163">
        <v>85748.221860119942</v>
      </c>
      <c r="J20" s="163">
        <v>110378.44527529409</v>
      </c>
      <c r="K20" s="163">
        <v>127910.59037938686</v>
      </c>
      <c r="L20" s="163">
        <v>152278.37882765671</v>
      </c>
      <c r="M20" s="163">
        <v>173495.34528757332</v>
      </c>
      <c r="N20" s="163">
        <v>235925.49563256503</v>
      </c>
      <c r="O20" s="163">
        <v>329297.39983069903</v>
      </c>
      <c r="P20" s="163">
        <v>343063.53531500464</v>
      </c>
      <c r="Q20" s="163">
        <v>325241.22409829585</v>
      </c>
      <c r="R20" s="163">
        <v>311077.75307598646</v>
      </c>
      <c r="S20" s="163">
        <v>152416.41887737083</v>
      </c>
      <c r="T20" s="163">
        <v>169761.40276674018</v>
      </c>
    </row>
    <row r="21" spans="1:20">
      <c r="A21" s="99" t="s">
        <v>200</v>
      </c>
      <c r="B21" s="165">
        <v>5.0000000000000001E-3</v>
      </c>
      <c r="C21" s="166" t="s">
        <v>295</v>
      </c>
      <c r="D21" s="99"/>
      <c r="E21" s="99">
        <f>E$20*$B21</f>
        <v>41.061416451603947</v>
      </c>
      <c r="F21" s="99">
        <f t="shared" ref="F21:T21" si="6">F$20*$B21</f>
        <v>113.37010994144015</v>
      </c>
      <c r="G21" s="99">
        <f t="shared" si="6"/>
        <v>222.05101737330753</v>
      </c>
      <c r="H21" s="99">
        <f t="shared" si="6"/>
        <v>478.44555220360627</v>
      </c>
      <c r="I21" s="99">
        <f t="shared" si="6"/>
        <v>428.7411093005997</v>
      </c>
      <c r="J21" s="99">
        <f t="shared" si="6"/>
        <v>551.89222637647049</v>
      </c>
      <c r="K21" s="99">
        <f t="shared" si="6"/>
        <v>639.55295189693436</v>
      </c>
      <c r="L21" s="99">
        <f t="shared" si="6"/>
        <v>761.39189413828353</v>
      </c>
      <c r="M21" s="99">
        <f t="shared" si="6"/>
        <v>867.47672643786666</v>
      </c>
      <c r="N21" s="99">
        <f t="shared" si="6"/>
        <v>1179.6274781628251</v>
      </c>
      <c r="O21" s="99">
        <f t="shared" si="6"/>
        <v>1646.4869991534952</v>
      </c>
      <c r="P21" s="99">
        <f t="shared" si="6"/>
        <v>1715.3176765750231</v>
      </c>
      <c r="Q21" s="99">
        <f t="shared" si="6"/>
        <v>1626.2061204914792</v>
      </c>
      <c r="R21" s="99">
        <f t="shared" si="6"/>
        <v>1555.3887653799322</v>
      </c>
      <c r="S21" s="99">
        <f t="shared" si="6"/>
        <v>762.08209438685412</v>
      </c>
      <c r="T21" s="99">
        <f t="shared" si="6"/>
        <v>848.80701383370092</v>
      </c>
    </row>
    <row r="22" spans="1:20">
      <c r="A22" s="99" t="s">
        <v>299</v>
      </c>
      <c r="B22" s="165">
        <v>0.995</v>
      </c>
      <c r="C22" s="166" t="s">
        <v>295</v>
      </c>
      <c r="D22" s="99"/>
      <c r="E22" s="99">
        <f t="shared" ref="E22:T33" si="7">E$20*$B22</f>
        <v>8171.2218738691854</v>
      </c>
      <c r="F22" s="99">
        <f t="shared" si="7"/>
        <v>22560.651878346591</v>
      </c>
      <c r="G22" s="99">
        <f t="shared" si="7"/>
        <v>44188.152457288197</v>
      </c>
      <c r="H22" s="99">
        <f t="shared" si="7"/>
        <v>95210.664888517655</v>
      </c>
      <c r="I22" s="99">
        <f t="shared" si="7"/>
        <v>85319.480750819348</v>
      </c>
      <c r="J22" s="99">
        <f t="shared" si="7"/>
        <v>109826.55304891762</v>
      </c>
      <c r="K22" s="99">
        <f t="shared" si="7"/>
        <v>127271.03742748992</v>
      </c>
      <c r="L22" s="99">
        <f t="shared" si="7"/>
        <v>151516.98693351843</v>
      </c>
      <c r="M22" s="99">
        <f t="shared" si="7"/>
        <v>172627.86856113546</v>
      </c>
      <c r="N22" s="99">
        <f t="shared" si="7"/>
        <v>234745.86815440221</v>
      </c>
      <c r="O22" s="99">
        <f t="shared" si="7"/>
        <v>327650.91283154552</v>
      </c>
      <c r="P22" s="99">
        <f t="shared" si="7"/>
        <v>341348.2176384296</v>
      </c>
      <c r="Q22" s="99">
        <f t="shared" si="7"/>
        <v>323615.01797780435</v>
      </c>
      <c r="R22" s="99">
        <f t="shared" si="7"/>
        <v>309522.3643106065</v>
      </c>
      <c r="S22" s="99">
        <f t="shared" si="7"/>
        <v>151654.33678298397</v>
      </c>
      <c r="T22" s="99">
        <f t="shared" si="7"/>
        <v>168912.59575290649</v>
      </c>
    </row>
    <row r="23" spans="1:20">
      <c r="A23" s="98" t="s">
        <v>196</v>
      </c>
      <c r="B23" s="168">
        <v>0.8</v>
      </c>
      <c r="C23" s="168" t="s">
        <v>300</v>
      </c>
      <c r="D23" s="98"/>
      <c r="E23" s="98">
        <f>E$22*$B23</f>
        <v>6536.9774990953483</v>
      </c>
      <c r="F23" s="98">
        <f t="shared" ref="F23:T24" si="8">F$22*$B23</f>
        <v>18048.521502677275</v>
      </c>
      <c r="G23" s="98">
        <f t="shared" si="8"/>
        <v>35350.521965830558</v>
      </c>
      <c r="H23" s="98">
        <f t="shared" si="8"/>
        <v>76168.531910814127</v>
      </c>
      <c r="I23" s="98">
        <f t="shared" si="8"/>
        <v>68255.584600655478</v>
      </c>
      <c r="J23" s="98">
        <f t="shared" si="8"/>
        <v>87861.242439134105</v>
      </c>
      <c r="K23" s="98">
        <f t="shared" si="8"/>
        <v>101816.82994199195</v>
      </c>
      <c r="L23" s="98">
        <f t="shared" si="8"/>
        <v>121213.58954681475</v>
      </c>
      <c r="M23" s="98">
        <f t="shared" si="8"/>
        <v>138102.29484890838</v>
      </c>
      <c r="N23" s="98">
        <f t="shared" si="8"/>
        <v>187796.69452352179</v>
      </c>
      <c r="O23" s="98">
        <f t="shared" si="8"/>
        <v>262120.73026523643</v>
      </c>
      <c r="P23" s="98">
        <f t="shared" si="8"/>
        <v>273078.57411074371</v>
      </c>
      <c r="Q23" s="98">
        <f t="shared" si="8"/>
        <v>258892.01438224351</v>
      </c>
      <c r="R23" s="98">
        <f t="shared" si="8"/>
        <v>247617.8914484852</v>
      </c>
      <c r="S23" s="98">
        <f t="shared" si="8"/>
        <v>121323.46942638718</v>
      </c>
      <c r="T23" s="98">
        <f t="shared" si="8"/>
        <v>135130.07660232519</v>
      </c>
    </row>
    <row r="24" spans="1:20">
      <c r="A24" s="98" t="s">
        <v>198</v>
      </c>
      <c r="B24" s="168">
        <v>0.2</v>
      </c>
      <c r="C24" s="168" t="s">
        <v>300</v>
      </c>
      <c r="D24" s="98"/>
      <c r="E24" s="98">
        <f>E$22*$B24</f>
        <v>1634.2443747738371</v>
      </c>
      <c r="F24" s="98">
        <f t="shared" si="8"/>
        <v>4512.1303756693187</v>
      </c>
      <c r="G24" s="98">
        <f t="shared" si="8"/>
        <v>8837.6304914576394</v>
      </c>
      <c r="H24" s="98">
        <f t="shared" si="8"/>
        <v>19042.132977703532</v>
      </c>
      <c r="I24" s="98">
        <f t="shared" si="8"/>
        <v>17063.89615016387</v>
      </c>
      <c r="J24" s="98">
        <f t="shared" si="8"/>
        <v>21965.310609783526</v>
      </c>
      <c r="K24" s="98">
        <f t="shared" si="8"/>
        <v>25454.207485497987</v>
      </c>
      <c r="L24" s="98">
        <f t="shared" si="8"/>
        <v>30303.397386703688</v>
      </c>
      <c r="M24" s="98">
        <f t="shared" si="8"/>
        <v>34525.573712227095</v>
      </c>
      <c r="N24" s="98">
        <f t="shared" si="8"/>
        <v>46949.173630880447</v>
      </c>
      <c r="O24" s="98">
        <f t="shared" si="8"/>
        <v>65530.182566309108</v>
      </c>
      <c r="P24" s="98">
        <f t="shared" si="8"/>
        <v>68269.643527685927</v>
      </c>
      <c r="Q24" s="98">
        <f t="shared" si="8"/>
        <v>64723.003595560876</v>
      </c>
      <c r="R24" s="98">
        <f t="shared" si="8"/>
        <v>61904.4728621213</v>
      </c>
      <c r="S24" s="98">
        <f t="shared" si="8"/>
        <v>30330.867356596795</v>
      </c>
      <c r="T24" s="98">
        <f t="shared" si="8"/>
        <v>33782.519150581298</v>
      </c>
    </row>
    <row r="25" spans="1:20">
      <c r="A25" s="99" t="s">
        <v>99</v>
      </c>
      <c r="B25" s="166">
        <v>0.3</v>
      </c>
      <c r="C25" s="166" t="s">
        <v>295</v>
      </c>
      <c r="D25" s="99"/>
      <c r="E25" s="99">
        <f t="shared" si="7"/>
        <v>2463.6849870962365</v>
      </c>
      <c r="F25" s="99">
        <f t="shared" si="7"/>
        <v>6802.2065964864087</v>
      </c>
      <c r="G25" s="99">
        <f t="shared" si="7"/>
        <v>13323.061042398451</v>
      </c>
      <c r="H25" s="99">
        <f t="shared" si="7"/>
        <v>28706.733132216377</v>
      </c>
      <c r="I25" s="99">
        <f t="shared" si="7"/>
        <v>25724.466558035983</v>
      </c>
      <c r="J25" s="99">
        <f t="shared" si="7"/>
        <v>33113.533582588221</v>
      </c>
      <c r="K25" s="99">
        <f t="shared" si="7"/>
        <v>38373.177113816055</v>
      </c>
      <c r="L25" s="99">
        <f t="shared" si="7"/>
        <v>45683.513648297012</v>
      </c>
      <c r="M25" s="99">
        <f t="shared" si="7"/>
        <v>52048.603586271995</v>
      </c>
      <c r="N25" s="99">
        <f t="shared" si="7"/>
        <v>70777.648689769499</v>
      </c>
      <c r="O25" s="99">
        <f t="shared" si="7"/>
        <v>98789.219949209699</v>
      </c>
      <c r="P25" s="99">
        <f t="shared" si="7"/>
        <v>102919.0605945014</v>
      </c>
      <c r="Q25" s="99">
        <f t="shared" si="7"/>
        <v>97572.367229488751</v>
      </c>
      <c r="R25" s="99">
        <f t="shared" si="7"/>
        <v>93323.325922795935</v>
      </c>
      <c r="S25" s="99">
        <f t="shared" si="7"/>
        <v>45724.925663211245</v>
      </c>
      <c r="T25" s="99">
        <f t="shared" si="7"/>
        <v>50928.420830022056</v>
      </c>
    </row>
    <row r="26" spans="1:20">
      <c r="A26" s="98" t="s">
        <v>301</v>
      </c>
      <c r="B26" s="168">
        <v>0.60899999999999999</v>
      </c>
      <c r="C26" s="168" t="s">
        <v>302</v>
      </c>
      <c r="D26" s="98"/>
      <c r="E26" s="98">
        <f>E$25*$B26</f>
        <v>1500.3841571416081</v>
      </c>
      <c r="F26" s="98">
        <f t="shared" ref="F26:T26" si="9">F$25*$B26</f>
        <v>4142.5438172602226</v>
      </c>
      <c r="G26" s="98">
        <f t="shared" si="9"/>
        <v>8113.7441748206566</v>
      </c>
      <c r="H26" s="98">
        <f t="shared" si="9"/>
        <v>17482.400477519772</v>
      </c>
      <c r="I26" s="98">
        <f t="shared" si="9"/>
        <v>15666.200133843913</v>
      </c>
      <c r="J26" s="98">
        <f t="shared" si="9"/>
        <v>20166.141951796228</v>
      </c>
      <c r="K26" s="98">
        <f t="shared" si="9"/>
        <v>23369.264862313976</v>
      </c>
      <c r="L26" s="98">
        <f t="shared" si="9"/>
        <v>27821.259811812881</v>
      </c>
      <c r="M26" s="98">
        <f t="shared" si="9"/>
        <v>31697.599584039643</v>
      </c>
      <c r="N26" s="98">
        <f t="shared" si="9"/>
        <v>43103.588052069623</v>
      </c>
      <c r="O26" s="98">
        <f t="shared" si="9"/>
        <v>60162.634949068706</v>
      </c>
      <c r="P26" s="98">
        <f t="shared" si="9"/>
        <v>62677.707902051348</v>
      </c>
      <c r="Q26" s="98">
        <f t="shared" si="9"/>
        <v>59421.571642758645</v>
      </c>
      <c r="R26" s="98">
        <f t="shared" si="9"/>
        <v>56833.905486982723</v>
      </c>
      <c r="S26" s="98">
        <f t="shared" si="9"/>
        <v>27846.479728895647</v>
      </c>
      <c r="T26" s="98">
        <f t="shared" si="9"/>
        <v>31015.408285483431</v>
      </c>
    </row>
    <row r="27" spans="1:20">
      <c r="A27" s="98" t="s">
        <v>303</v>
      </c>
      <c r="B27" s="168">
        <v>0.38800000000000001</v>
      </c>
      <c r="C27" s="168" t="s">
        <v>302</v>
      </c>
      <c r="D27" s="98"/>
      <c r="E27" s="98">
        <f t="shared" ref="E27:T28" si="10">E$25*$B27</f>
        <v>955.90977499333974</v>
      </c>
      <c r="F27" s="98">
        <f t="shared" si="10"/>
        <v>2639.2561594367266</v>
      </c>
      <c r="G27" s="98">
        <f t="shared" si="10"/>
        <v>5169.3476844505994</v>
      </c>
      <c r="H27" s="98">
        <f t="shared" si="10"/>
        <v>11138.212455299954</v>
      </c>
      <c r="I27" s="98">
        <f t="shared" si="10"/>
        <v>9981.0930245179625</v>
      </c>
      <c r="J27" s="98">
        <f t="shared" si="10"/>
        <v>12848.051030044231</v>
      </c>
      <c r="K27" s="98">
        <f t="shared" si="10"/>
        <v>14888.792720160629</v>
      </c>
      <c r="L27" s="98">
        <f t="shared" si="10"/>
        <v>17725.203295539242</v>
      </c>
      <c r="M27" s="98">
        <f t="shared" si="10"/>
        <v>20194.858191473533</v>
      </c>
      <c r="N27" s="98">
        <f t="shared" si="10"/>
        <v>27461.727691630567</v>
      </c>
      <c r="O27" s="98">
        <f t="shared" si="10"/>
        <v>38330.217340293362</v>
      </c>
      <c r="P27" s="98">
        <f t="shared" si="10"/>
        <v>39932.595510666542</v>
      </c>
      <c r="Q27" s="98">
        <f t="shared" si="10"/>
        <v>37858.078485041638</v>
      </c>
      <c r="R27" s="98">
        <f t="shared" si="10"/>
        <v>36209.450458044827</v>
      </c>
      <c r="S27" s="98">
        <f t="shared" si="10"/>
        <v>17741.271157325962</v>
      </c>
      <c r="T27" s="98">
        <f t="shared" si="10"/>
        <v>19760.22728204856</v>
      </c>
    </row>
    <row r="28" spans="1:20">
      <c r="A28" s="98" t="s">
        <v>304</v>
      </c>
      <c r="B28" s="168">
        <v>3.0000000000000001E-3</v>
      </c>
      <c r="C28" s="168" t="s">
        <v>302</v>
      </c>
      <c r="D28" s="98"/>
      <c r="E28" s="98">
        <f t="shared" si="10"/>
        <v>7.3910549612887095</v>
      </c>
      <c r="F28" s="98">
        <f t="shared" si="10"/>
        <v>20.406619789459228</v>
      </c>
      <c r="G28" s="98">
        <f t="shared" si="10"/>
        <v>39.96918312719535</v>
      </c>
      <c r="H28" s="98">
        <f t="shared" si="10"/>
        <v>86.120199396649127</v>
      </c>
      <c r="I28" s="98">
        <f t="shared" si="10"/>
        <v>77.173399674107955</v>
      </c>
      <c r="J28" s="98">
        <f t="shared" si="10"/>
        <v>99.340600747764668</v>
      </c>
      <c r="K28" s="98">
        <f t="shared" si="10"/>
        <v>115.11953134144817</v>
      </c>
      <c r="L28" s="98">
        <f t="shared" si="10"/>
        <v>137.05054094489103</v>
      </c>
      <c r="M28" s="98">
        <f t="shared" si="10"/>
        <v>156.145810758816</v>
      </c>
      <c r="N28" s="98">
        <f t="shared" si="10"/>
        <v>212.33294606930849</v>
      </c>
      <c r="O28" s="98">
        <f t="shared" si="10"/>
        <v>296.36765984762911</v>
      </c>
      <c r="P28" s="98">
        <f t="shared" si="10"/>
        <v>308.75718178350417</v>
      </c>
      <c r="Q28" s="98">
        <f t="shared" si="10"/>
        <v>292.71710168846624</v>
      </c>
      <c r="R28" s="98">
        <f t="shared" si="10"/>
        <v>279.96997776838782</v>
      </c>
      <c r="S28" s="98">
        <f t="shared" si="10"/>
        <v>137.17477698963373</v>
      </c>
      <c r="T28" s="98">
        <f t="shared" si="10"/>
        <v>152.78526249006617</v>
      </c>
    </row>
    <row r="29" spans="1:20">
      <c r="A29" s="99" t="s">
        <v>283</v>
      </c>
      <c r="B29" s="166">
        <v>0.1</v>
      </c>
      <c r="C29" s="166" t="s">
        <v>295</v>
      </c>
      <c r="D29" s="99"/>
      <c r="E29" s="99">
        <f t="shared" si="7"/>
        <v>821.22832903207893</v>
      </c>
      <c r="F29" s="99">
        <f t="shared" si="7"/>
        <v>2267.4021988288032</v>
      </c>
      <c r="G29" s="99">
        <f t="shared" si="7"/>
        <v>4441.0203474661503</v>
      </c>
      <c r="H29" s="99">
        <f t="shared" si="7"/>
        <v>9568.9110440721252</v>
      </c>
      <c r="I29" s="99">
        <f t="shared" si="7"/>
        <v>8574.8221860119938</v>
      </c>
      <c r="J29" s="99">
        <f t="shared" si="7"/>
        <v>11037.844527529409</v>
      </c>
      <c r="K29" s="99">
        <f t="shared" si="7"/>
        <v>12791.059037938687</v>
      </c>
      <c r="L29" s="99">
        <f t="shared" si="7"/>
        <v>15227.837882765671</v>
      </c>
      <c r="M29" s="99">
        <f t="shared" si="7"/>
        <v>17349.534528757333</v>
      </c>
      <c r="N29" s="99">
        <f t="shared" si="7"/>
        <v>23592.549563256503</v>
      </c>
      <c r="O29" s="99">
        <f t="shared" si="7"/>
        <v>32929.739983069907</v>
      </c>
      <c r="P29" s="99">
        <f t="shared" si="7"/>
        <v>34306.353531500463</v>
      </c>
      <c r="Q29" s="99">
        <f t="shared" si="7"/>
        <v>32524.122409829586</v>
      </c>
      <c r="R29" s="99">
        <f t="shared" si="7"/>
        <v>31107.775307598647</v>
      </c>
      <c r="S29" s="99">
        <f t="shared" si="7"/>
        <v>15241.641887737083</v>
      </c>
      <c r="T29" s="99">
        <f t="shared" si="7"/>
        <v>16976.140276674018</v>
      </c>
    </row>
    <row r="30" spans="1:20">
      <c r="A30" s="99" t="s">
        <v>305</v>
      </c>
      <c r="B30" s="166">
        <v>0.1105</v>
      </c>
      <c r="C30" s="166" t="s">
        <v>295</v>
      </c>
      <c r="D30" s="99"/>
      <c r="E30" s="99">
        <f t="shared" si="7"/>
        <v>907.45730358044716</v>
      </c>
      <c r="F30" s="99">
        <f t="shared" si="7"/>
        <v>2505.4794297058274</v>
      </c>
      <c r="G30" s="99">
        <f t="shared" si="7"/>
        <v>4907.3274839500964</v>
      </c>
      <c r="H30" s="99">
        <f t="shared" si="7"/>
        <v>10573.646703699698</v>
      </c>
      <c r="I30" s="99">
        <f t="shared" si="7"/>
        <v>9475.1785155432535</v>
      </c>
      <c r="J30" s="99">
        <f t="shared" si="7"/>
        <v>12196.818202919996</v>
      </c>
      <c r="K30" s="99">
        <f t="shared" si="7"/>
        <v>14134.120236922248</v>
      </c>
      <c r="L30" s="99">
        <f t="shared" si="7"/>
        <v>16826.760860456066</v>
      </c>
      <c r="M30" s="99">
        <f t="shared" si="7"/>
        <v>19171.23565427685</v>
      </c>
      <c r="N30" s="99">
        <f t="shared" si="7"/>
        <v>26069.767267398434</v>
      </c>
      <c r="O30" s="99">
        <f t="shared" si="7"/>
        <v>36387.362681292245</v>
      </c>
      <c r="P30" s="99">
        <f t="shared" si="7"/>
        <v>37908.520652308012</v>
      </c>
      <c r="Q30" s="99">
        <f t="shared" si="7"/>
        <v>35939.155262861692</v>
      </c>
      <c r="R30" s="99">
        <f t="shared" si="7"/>
        <v>34374.091714896502</v>
      </c>
      <c r="S30" s="99">
        <f t="shared" si="7"/>
        <v>16842.014285949477</v>
      </c>
      <c r="T30" s="99">
        <f t="shared" si="7"/>
        <v>18758.635005724791</v>
      </c>
    </row>
    <row r="31" spans="1:20">
      <c r="A31" s="99" t="s">
        <v>210</v>
      </c>
      <c r="B31" s="166">
        <v>0.442</v>
      </c>
      <c r="C31" s="166" t="s">
        <v>295</v>
      </c>
      <c r="D31" s="99"/>
      <c r="E31" s="99">
        <f t="shared" si="7"/>
        <v>3629.8292143217886</v>
      </c>
      <c r="F31" s="99">
        <f t="shared" si="7"/>
        <v>10021.91771882331</v>
      </c>
      <c r="G31" s="99">
        <f t="shared" si="7"/>
        <v>19629.309935800386</v>
      </c>
      <c r="H31" s="99">
        <f t="shared" si="7"/>
        <v>42294.586814798793</v>
      </c>
      <c r="I31" s="99">
        <f t="shared" si="7"/>
        <v>37900.714062173014</v>
      </c>
      <c r="J31" s="99">
        <f t="shared" si="7"/>
        <v>48787.272811679984</v>
      </c>
      <c r="K31" s="99">
        <f t="shared" si="7"/>
        <v>56536.480947688993</v>
      </c>
      <c r="L31" s="99">
        <f t="shared" si="7"/>
        <v>67307.043441824266</v>
      </c>
      <c r="M31" s="99">
        <f t="shared" si="7"/>
        <v>76684.942617107401</v>
      </c>
      <c r="N31" s="99">
        <f t="shared" si="7"/>
        <v>104279.06906959374</v>
      </c>
      <c r="O31" s="99">
        <f t="shared" si="7"/>
        <v>145549.45072516898</v>
      </c>
      <c r="P31" s="99">
        <f t="shared" si="7"/>
        <v>151634.08260923205</v>
      </c>
      <c r="Q31" s="99">
        <f t="shared" si="7"/>
        <v>143756.62105144677</v>
      </c>
      <c r="R31" s="99">
        <f t="shared" si="7"/>
        <v>137496.36685958601</v>
      </c>
      <c r="S31" s="99">
        <f t="shared" si="7"/>
        <v>67368.057143797909</v>
      </c>
      <c r="T31" s="99">
        <f t="shared" si="7"/>
        <v>75034.540022899164</v>
      </c>
    </row>
    <row r="32" spans="1:20">
      <c r="A32" s="99" t="s">
        <v>306</v>
      </c>
      <c r="B32" s="166">
        <v>0.29749999999999999</v>
      </c>
      <c r="C32" s="166" t="s">
        <v>295</v>
      </c>
      <c r="D32" s="99"/>
      <c r="E32" s="99">
        <f t="shared" si="7"/>
        <v>2443.1542788704346</v>
      </c>
      <c r="F32" s="99">
        <f t="shared" si="7"/>
        <v>6745.521541515689</v>
      </c>
      <c r="G32" s="99">
        <f t="shared" si="7"/>
        <v>13212.035533711796</v>
      </c>
      <c r="H32" s="99">
        <f t="shared" si="7"/>
        <v>28467.510356114573</v>
      </c>
      <c r="I32" s="99">
        <f t="shared" si="7"/>
        <v>25510.096003385683</v>
      </c>
      <c r="J32" s="99">
        <f t="shared" si="7"/>
        <v>32837.587469399987</v>
      </c>
      <c r="K32" s="99">
        <f t="shared" si="7"/>
        <v>38053.400637867591</v>
      </c>
      <c r="L32" s="99">
        <f t="shared" si="7"/>
        <v>45302.817701227868</v>
      </c>
      <c r="M32" s="99">
        <f t="shared" si="7"/>
        <v>51614.865223053057</v>
      </c>
      <c r="N32" s="99">
        <f t="shared" si="7"/>
        <v>70187.834950688091</v>
      </c>
      <c r="O32" s="99">
        <f t="shared" si="7"/>
        <v>97965.976449632959</v>
      </c>
      <c r="P32" s="99">
        <f t="shared" si="7"/>
        <v>102061.40175621388</v>
      </c>
      <c r="Q32" s="99">
        <f t="shared" si="7"/>
        <v>96759.264169243004</v>
      </c>
      <c r="R32" s="99">
        <f t="shared" si="7"/>
        <v>92545.631540105969</v>
      </c>
      <c r="S32" s="99">
        <f t="shared" si="7"/>
        <v>45343.884616017822</v>
      </c>
      <c r="T32" s="99">
        <f t="shared" si="7"/>
        <v>50504.017323105203</v>
      </c>
    </row>
    <row r="33" spans="1:20">
      <c r="A33" s="99" t="s">
        <v>307</v>
      </c>
      <c r="B33" s="166">
        <v>0.05</v>
      </c>
      <c r="C33" s="166" t="s">
        <v>295</v>
      </c>
      <c r="D33" s="99"/>
      <c r="E33" s="99">
        <f t="shared" si="7"/>
        <v>410.61416451603947</v>
      </c>
      <c r="F33" s="99">
        <f t="shared" si="7"/>
        <v>1133.7010994144016</v>
      </c>
      <c r="G33" s="99">
        <f t="shared" si="7"/>
        <v>2220.5101737330751</v>
      </c>
      <c r="H33" s="99">
        <f t="shared" si="7"/>
        <v>4784.4555220360626</v>
      </c>
      <c r="I33" s="99">
        <f t="shared" si="7"/>
        <v>4287.4110930059969</v>
      </c>
      <c r="J33" s="99">
        <f t="shared" si="7"/>
        <v>5518.9222637647044</v>
      </c>
      <c r="K33" s="99">
        <f t="shared" si="7"/>
        <v>6395.5295189693434</v>
      </c>
      <c r="L33" s="99">
        <f t="shared" si="7"/>
        <v>7613.9189413828353</v>
      </c>
      <c r="M33" s="99">
        <f t="shared" si="7"/>
        <v>8674.7672643786664</v>
      </c>
      <c r="N33" s="99">
        <f t="shared" si="7"/>
        <v>11796.274781628252</v>
      </c>
      <c r="O33" s="99">
        <f t="shared" si="7"/>
        <v>16464.869991534953</v>
      </c>
      <c r="P33" s="99">
        <f t="shared" si="7"/>
        <v>17153.176765750231</v>
      </c>
      <c r="Q33" s="99">
        <f t="shared" si="7"/>
        <v>16262.061204914793</v>
      </c>
      <c r="R33" s="99">
        <f t="shared" si="7"/>
        <v>15553.887653799324</v>
      </c>
      <c r="S33" s="99">
        <f t="shared" si="7"/>
        <v>7620.8209438685417</v>
      </c>
      <c r="T33" s="99">
        <f t="shared" si="7"/>
        <v>8488.0701383370088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4A42F-4A09-4B38-AC73-9414FC88CD1F}">
  <dimension ref="A1:W37"/>
  <sheetViews>
    <sheetView workbookViewId="0">
      <selection activeCell="T46" sqref="T46"/>
    </sheetView>
  </sheetViews>
  <sheetFormatPr baseColWidth="10" defaultRowHeight="14.4"/>
  <sheetData>
    <row r="1" spans="1:23">
      <c r="A1" s="170" t="s">
        <v>145</v>
      </c>
      <c r="B1" s="170" t="s">
        <v>292</v>
      </c>
      <c r="C1" s="170" t="s">
        <v>28</v>
      </c>
      <c r="D1" s="170">
        <v>37</v>
      </c>
      <c r="E1" s="170">
        <v>38</v>
      </c>
      <c r="F1" s="170">
        <v>39</v>
      </c>
      <c r="G1" s="163">
        <v>40</v>
      </c>
      <c r="H1" s="163">
        <v>41</v>
      </c>
      <c r="I1" s="163">
        <v>42</v>
      </c>
      <c r="J1" s="163">
        <v>43</v>
      </c>
      <c r="K1" s="163">
        <v>44</v>
      </c>
      <c r="L1" s="163">
        <v>45</v>
      </c>
      <c r="M1" s="163">
        <v>46</v>
      </c>
      <c r="N1" s="163">
        <v>47</v>
      </c>
      <c r="O1" s="163">
        <v>48</v>
      </c>
      <c r="P1" s="163">
        <v>49</v>
      </c>
      <c r="Q1" s="163">
        <v>50</v>
      </c>
      <c r="R1" s="163">
        <v>51</v>
      </c>
      <c r="S1" s="163">
        <v>52</v>
      </c>
      <c r="T1" s="163">
        <v>53</v>
      </c>
      <c r="U1" s="163"/>
      <c r="V1" s="163"/>
      <c r="W1" s="163"/>
    </row>
    <row r="2" spans="1:23">
      <c r="A2" t="s">
        <v>293</v>
      </c>
      <c r="B2" t="s">
        <v>294</v>
      </c>
      <c r="C2" t="s">
        <v>294</v>
      </c>
      <c r="D2">
        <v>52788.899833611773</v>
      </c>
      <c r="E2" s="47">
        <v>109539.9040561244</v>
      </c>
      <c r="F2">
        <v>161232.92876983003</v>
      </c>
      <c r="G2" s="99">
        <v>223944.63304665033</v>
      </c>
      <c r="H2" s="99">
        <v>233870.43924913151</v>
      </c>
      <c r="I2" s="99">
        <v>308313.41893986752</v>
      </c>
      <c r="J2" s="99">
        <v>288193.07777115988</v>
      </c>
      <c r="K2" s="99">
        <v>242370.31093333627</v>
      </c>
      <c r="L2" s="99">
        <v>274292.15542740992</v>
      </c>
      <c r="M2" s="99">
        <v>281989.90316814301</v>
      </c>
      <c r="N2" s="99">
        <v>321290.91532932001</v>
      </c>
      <c r="O2" s="99">
        <v>300453.58996184188</v>
      </c>
      <c r="P2" s="99">
        <v>288451.38027685287</v>
      </c>
      <c r="Q2" s="99">
        <v>273646.15831021359</v>
      </c>
      <c r="R2" s="99">
        <v>211276.61364554949</v>
      </c>
      <c r="S2" s="99">
        <v>247365.21235759673</v>
      </c>
      <c r="T2" s="99">
        <v>231699.69852570689</v>
      </c>
      <c r="U2" s="99"/>
      <c r="V2" s="99"/>
      <c r="W2" s="99"/>
    </row>
    <row r="3" spans="1:23">
      <c r="A3" t="s">
        <v>279</v>
      </c>
      <c r="B3">
        <v>0.6</v>
      </c>
      <c r="C3" t="s">
        <v>295</v>
      </c>
      <c r="D3">
        <v>31673.339900167062</v>
      </c>
      <c r="E3" s="47">
        <v>65723.942433674645</v>
      </c>
      <c r="F3">
        <v>96739.757261898019</v>
      </c>
      <c r="G3" s="99">
        <v>134366.77982799019</v>
      </c>
      <c r="H3" s="99">
        <v>140322.2635494789</v>
      </c>
      <c r="I3" s="99">
        <v>184988.0513639205</v>
      </c>
      <c r="J3" s="99">
        <v>172915.84666269593</v>
      </c>
      <c r="K3" s="99">
        <v>145422.18656000175</v>
      </c>
      <c r="L3" s="99">
        <v>164575.29325644593</v>
      </c>
      <c r="M3" s="99">
        <v>169193.94190088581</v>
      </c>
      <c r="N3" s="99">
        <v>192774.54919759199</v>
      </c>
      <c r="O3" s="99">
        <v>180272.15397710513</v>
      </c>
      <c r="P3" s="99">
        <v>173070.82816611172</v>
      </c>
      <c r="Q3" s="99">
        <v>164187.69498612816</v>
      </c>
      <c r="R3" s="99">
        <v>126765.96818732968</v>
      </c>
      <c r="S3" s="99">
        <v>148419.12741455802</v>
      </c>
      <c r="T3" s="99">
        <v>139019.81911542412</v>
      </c>
      <c r="U3" s="99"/>
      <c r="V3" s="99"/>
      <c r="W3" s="99"/>
    </row>
    <row r="4" spans="1:23">
      <c r="A4" t="s">
        <v>280</v>
      </c>
      <c r="B4">
        <v>0.3</v>
      </c>
      <c r="C4" t="s">
        <v>295</v>
      </c>
      <c r="D4">
        <v>15836.669950083531</v>
      </c>
      <c r="E4" s="47">
        <v>32861.971216837323</v>
      </c>
      <c r="F4">
        <v>48369.87863094901</v>
      </c>
      <c r="G4" s="99">
        <v>67183.389913995095</v>
      </c>
      <c r="H4" s="99">
        <v>70161.13177473945</v>
      </c>
      <c r="I4" s="99">
        <v>92494.025681960251</v>
      </c>
      <c r="J4" s="99">
        <v>86457.923331347964</v>
      </c>
      <c r="K4" s="99">
        <v>72711.093280000874</v>
      </c>
      <c r="L4" s="99">
        <v>82287.646628222967</v>
      </c>
      <c r="M4" s="99">
        <v>84596.970950442905</v>
      </c>
      <c r="N4" s="99">
        <v>96387.274598795993</v>
      </c>
      <c r="O4" s="99">
        <v>90136.076988552566</v>
      </c>
      <c r="P4" s="99">
        <v>86535.414083055861</v>
      </c>
      <c r="Q4" s="99">
        <v>82093.84749306408</v>
      </c>
      <c r="R4" s="99">
        <v>63382.98409366484</v>
      </c>
      <c r="S4" s="99">
        <v>74209.563707279012</v>
      </c>
      <c r="T4" s="99">
        <v>69509.909557712061</v>
      </c>
      <c r="U4" s="99"/>
      <c r="V4" s="99"/>
      <c r="W4" s="99"/>
    </row>
    <row r="5" spans="1:23">
      <c r="A5" t="s">
        <v>281</v>
      </c>
      <c r="B5">
        <v>0.05</v>
      </c>
      <c r="C5" t="s">
        <v>295</v>
      </c>
      <c r="D5">
        <v>2639.4449916805888</v>
      </c>
      <c r="E5" s="47">
        <v>5476.9952028062207</v>
      </c>
      <c r="F5">
        <v>8061.6464384915016</v>
      </c>
      <c r="G5" s="99">
        <v>11197.231652332517</v>
      </c>
      <c r="H5" s="99">
        <v>11693.521962456576</v>
      </c>
      <c r="I5" s="99">
        <v>15415.670946993378</v>
      </c>
      <c r="J5" s="99">
        <v>14409.653888557994</v>
      </c>
      <c r="K5" s="99">
        <v>12118.515546666815</v>
      </c>
      <c r="L5" s="99">
        <v>13714.607771370496</v>
      </c>
      <c r="M5" s="99">
        <v>14099.495158407151</v>
      </c>
      <c r="N5" s="99">
        <v>16064.545766466001</v>
      </c>
      <c r="O5" s="99">
        <v>15022.679498092095</v>
      </c>
      <c r="P5" s="99">
        <v>14422.569013842643</v>
      </c>
      <c r="Q5" s="99">
        <v>13682.307915510681</v>
      </c>
      <c r="R5" s="99">
        <v>10563.830682277476</v>
      </c>
      <c r="S5" s="99">
        <v>12368.260617879838</v>
      </c>
      <c r="T5" s="99">
        <v>11584.984926285346</v>
      </c>
      <c r="U5" s="99"/>
      <c r="V5" s="99"/>
      <c r="W5" s="99"/>
    </row>
    <row r="6" spans="1:23">
      <c r="A6" t="s">
        <v>282</v>
      </c>
      <c r="B6">
        <v>0.05</v>
      </c>
      <c r="C6" t="s">
        <v>295</v>
      </c>
      <c r="D6">
        <v>2639.4449916805888</v>
      </c>
      <c r="E6" s="47">
        <v>5476.9952028062207</v>
      </c>
      <c r="F6">
        <v>8061.6464384915016</v>
      </c>
      <c r="G6" s="99">
        <v>11197.231652332517</v>
      </c>
      <c r="H6" s="99">
        <v>11693.521962456576</v>
      </c>
      <c r="I6" s="99">
        <v>15415.670946993378</v>
      </c>
      <c r="J6" s="99">
        <v>14409.653888557994</v>
      </c>
      <c r="K6" s="99">
        <v>12118.515546666815</v>
      </c>
      <c r="L6" s="99">
        <v>13714.607771370496</v>
      </c>
      <c r="M6" s="99">
        <v>14099.495158407151</v>
      </c>
      <c r="N6" s="99">
        <v>16064.545766466001</v>
      </c>
      <c r="O6" s="99">
        <v>15022.679498092095</v>
      </c>
      <c r="P6" s="99">
        <v>14422.569013842643</v>
      </c>
      <c r="Q6" s="99">
        <v>13682.307915510681</v>
      </c>
      <c r="R6" s="99">
        <v>10563.830682277476</v>
      </c>
      <c r="S6" s="99">
        <v>12368.260617879838</v>
      </c>
      <c r="T6" s="99">
        <v>11584.984926285346</v>
      </c>
      <c r="U6" s="99"/>
      <c r="V6" s="99"/>
      <c r="W6" s="99"/>
    </row>
    <row r="7" spans="1:23">
      <c r="A7" t="s">
        <v>283</v>
      </c>
      <c r="B7">
        <v>0.1</v>
      </c>
      <c r="C7" t="s">
        <v>295</v>
      </c>
      <c r="D7">
        <v>5278.8899833611777</v>
      </c>
      <c r="E7" s="47">
        <v>10953.990405612441</v>
      </c>
      <c r="F7">
        <v>16123.292876983003</v>
      </c>
      <c r="G7" s="99">
        <v>22394.463304665034</v>
      </c>
      <c r="H7" s="99">
        <v>23387.043924913152</v>
      </c>
      <c r="I7" s="99">
        <v>30831.341893986755</v>
      </c>
      <c r="J7" s="99">
        <v>28819.307777115988</v>
      </c>
      <c r="K7" s="99">
        <v>24237.03109333363</v>
      </c>
      <c r="L7" s="99">
        <v>27429.215542740993</v>
      </c>
      <c r="M7" s="99">
        <v>28198.990316814303</v>
      </c>
      <c r="N7" s="99">
        <v>32129.091532932001</v>
      </c>
      <c r="O7" s="99">
        <v>30045.35899618419</v>
      </c>
      <c r="P7" s="99">
        <v>28845.138027685287</v>
      </c>
      <c r="Q7" s="99">
        <v>27364.615831021361</v>
      </c>
      <c r="R7" s="99">
        <v>21127.661364554951</v>
      </c>
      <c r="S7" s="99">
        <v>24736.521235759676</v>
      </c>
      <c r="T7" s="99">
        <v>23169.969852570692</v>
      </c>
      <c r="U7" s="99"/>
      <c r="V7" s="99"/>
      <c r="W7" s="99"/>
    </row>
    <row r="8" spans="1:23">
      <c r="A8" t="s">
        <v>284</v>
      </c>
      <c r="B8">
        <v>0.09</v>
      </c>
      <c r="C8" t="s">
        <v>295</v>
      </c>
      <c r="D8">
        <v>4751.000985025059</v>
      </c>
      <c r="E8" s="47">
        <v>9858.5913650511957</v>
      </c>
      <c r="F8">
        <v>14510.963589284702</v>
      </c>
      <c r="G8" s="99">
        <v>20155.01697419853</v>
      </c>
      <c r="H8" s="99">
        <v>21048.339532421836</v>
      </c>
      <c r="I8" s="99">
        <v>27748.207704588076</v>
      </c>
      <c r="J8" s="99">
        <v>25937.376999404387</v>
      </c>
      <c r="K8" s="99">
        <v>21813.327984000261</v>
      </c>
      <c r="L8" s="99">
        <v>24686.293988466892</v>
      </c>
      <c r="M8" s="99">
        <v>25379.091285132869</v>
      </c>
      <c r="N8" s="99">
        <v>28916.182379638798</v>
      </c>
      <c r="O8" s="99">
        <v>27040.823096565768</v>
      </c>
      <c r="P8" s="99">
        <v>25960.624224916759</v>
      </c>
      <c r="Q8" s="99">
        <v>24628.154247919221</v>
      </c>
      <c r="R8" s="99">
        <v>19014.895228099453</v>
      </c>
      <c r="S8" s="99">
        <v>22262.869112183704</v>
      </c>
      <c r="T8" s="99">
        <v>20852.97286731362</v>
      </c>
      <c r="U8" s="99"/>
      <c r="V8" s="99"/>
      <c r="W8" s="99"/>
    </row>
    <row r="9" spans="1:23">
      <c r="A9" t="s">
        <v>285</v>
      </c>
      <c r="B9">
        <v>0.05</v>
      </c>
      <c r="C9" t="s">
        <v>295</v>
      </c>
      <c r="D9">
        <v>2639.4449916805888</v>
      </c>
      <c r="E9" s="47">
        <v>5476.9952028062207</v>
      </c>
      <c r="F9">
        <v>8061.6464384915016</v>
      </c>
      <c r="G9" s="99">
        <v>11197.231652332517</v>
      </c>
      <c r="H9" s="99">
        <v>11693.521962456576</v>
      </c>
      <c r="I9" s="99">
        <v>15415.670946993378</v>
      </c>
      <c r="J9" s="99">
        <v>14409.653888557994</v>
      </c>
      <c r="K9" s="99">
        <v>12118.515546666815</v>
      </c>
      <c r="L9" s="99">
        <v>13714.607771370496</v>
      </c>
      <c r="M9" s="99">
        <v>14099.495158407151</v>
      </c>
      <c r="N9" s="99">
        <v>16064.545766466001</v>
      </c>
      <c r="O9" s="99">
        <v>15022.679498092095</v>
      </c>
      <c r="P9" s="99">
        <v>14422.569013842643</v>
      </c>
      <c r="Q9" s="99">
        <v>13682.307915510681</v>
      </c>
      <c r="R9" s="99">
        <v>10563.830682277476</v>
      </c>
      <c r="S9" s="99">
        <v>12368.260617879838</v>
      </c>
      <c r="T9" s="99">
        <v>11584.984926285346</v>
      </c>
      <c r="U9" s="99"/>
      <c r="V9" s="99"/>
      <c r="W9" s="99"/>
    </row>
    <row r="10" spans="1:23">
      <c r="A10" t="s">
        <v>66</v>
      </c>
      <c r="B10">
        <v>0.01</v>
      </c>
      <c r="C10" t="s">
        <v>295</v>
      </c>
      <c r="D10">
        <v>527.88899833611777</v>
      </c>
      <c r="E10" s="47">
        <v>1095.399040561244</v>
      </c>
      <c r="F10">
        <v>1612.3292876983003</v>
      </c>
      <c r="G10" s="99">
        <v>2239.4463304665032</v>
      </c>
      <c r="H10" s="99">
        <v>2338.704392491315</v>
      </c>
      <c r="I10" s="99">
        <v>3083.1341893986755</v>
      </c>
      <c r="J10" s="99">
        <v>2881.9307777115987</v>
      </c>
      <c r="K10" s="99">
        <v>2423.7031093333626</v>
      </c>
      <c r="L10" s="99">
        <v>2742.9215542740994</v>
      </c>
      <c r="M10" s="99">
        <v>2819.8990316814302</v>
      </c>
      <c r="N10" s="99">
        <v>3212.9091532932002</v>
      </c>
      <c r="O10" s="99">
        <v>3004.5358996184186</v>
      </c>
      <c r="P10" s="99">
        <v>2884.5138027685289</v>
      </c>
      <c r="Q10" s="99">
        <v>2736.461583102136</v>
      </c>
      <c r="R10" s="99">
        <v>2112.7661364554947</v>
      </c>
      <c r="S10" s="99">
        <v>2473.6521235759674</v>
      </c>
      <c r="T10" s="99">
        <v>2316.9969852570689</v>
      </c>
      <c r="U10" s="99"/>
      <c r="V10" s="99"/>
      <c r="W10" s="99"/>
    </row>
    <row r="11" spans="1:23">
      <c r="A11" t="s">
        <v>286</v>
      </c>
      <c r="B11">
        <v>0.25</v>
      </c>
      <c r="C11" t="s">
        <v>295</v>
      </c>
      <c r="D11">
        <v>13197.224958402943</v>
      </c>
      <c r="E11" s="47">
        <v>27384.976014031101</v>
      </c>
      <c r="F11">
        <v>40308.232192457508</v>
      </c>
      <c r="G11" s="99">
        <v>55986.158261662582</v>
      </c>
      <c r="H11" s="99">
        <v>58467.609812282877</v>
      </c>
      <c r="I11" s="99">
        <v>77078.354734966881</v>
      </c>
      <c r="J11" s="99">
        <v>72048.26944278997</v>
      </c>
      <c r="K11" s="99">
        <v>60592.577733334067</v>
      </c>
      <c r="L11" s="99">
        <v>68573.03885685248</v>
      </c>
      <c r="M11" s="99">
        <v>70497.475792035752</v>
      </c>
      <c r="N11" s="99">
        <v>80322.728832330002</v>
      </c>
      <c r="O11" s="99">
        <v>75113.397490460469</v>
      </c>
      <c r="P11" s="99">
        <v>72112.845069213217</v>
      </c>
      <c r="Q11" s="99">
        <v>68411.539577553398</v>
      </c>
      <c r="R11" s="99">
        <v>52819.153411387371</v>
      </c>
      <c r="S11" s="99">
        <v>61841.303089399182</v>
      </c>
      <c r="T11" s="99">
        <v>57924.924631426722</v>
      </c>
      <c r="U11" s="99"/>
      <c r="V11" s="99"/>
      <c r="W11" s="99"/>
    </row>
    <row r="12" spans="1:23">
      <c r="A12" t="s">
        <v>62</v>
      </c>
      <c r="B12">
        <v>0.6</v>
      </c>
      <c r="C12" t="s">
        <v>295</v>
      </c>
      <c r="D12">
        <v>31673.339900167062</v>
      </c>
      <c r="E12" s="47">
        <v>65723.942433674645</v>
      </c>
      <c r="F12">
        <v>96739.757261898019</v>
      </c>
      <c r="G12" s="99">
        <v>134366.77982799019</v>
      </c>
      <c r="H12" s="99">
        <v>140322.2635494789</v>
      </c>
      <c r="I12" s="99">
        <v>184988.0513639205</v>
      </c>
      <c r="J12" s="99">
        <v>172915.84666269593</v>
      </c>
      <c r="K12" s="99">
        <v>145422.18656000175</v>
      </c>
      <c r="L12" s="99">
        <v>164575.29325644593</v>
      </c>
      <c r="M12" s="99">
        <v>169193.94190088581</v>
      </c>
      <c r="N12" s="99">
        <v>192774.54919759199</v>
      </c>
      <c r="O12" s="99">
        <v>180272.15397710513</v>
      </c>
      <c r="P12" s="99">
        <v>173070.82816611172</v>
      </c>
      <c r="Q12" s="99">
        <v>164187.69498612816</v>
      </c>
      <c r="R12" s="99">
        <v>126765.96818732968</v>
      </c>
      <c r="S12" s="99">
        <v>148419.12741455802</v>
      </c>
      <c r="T12" s="99">
        <v>139019.81911542412</v>
      </c>
      <c r="U12" s="99"/>
      <c r="V12" s="99"/>
      <c r="W12" s="99"/>
    </row>
    <row r="13" spans="1:23">
      <c r="A13" t="s">
        <v>287</v>
      </c>
      <c r="B13">
        <v>0.60899999999999999</v>
      </c>
      <c r="C13" t="s">
        <v>296</v>
      </c>
      <c r="D13">
        <v>2893.3595998802607</v>
      </c>
      <c r="E13" s="47">
        <v>6003.8821413161777</v>
      </c>
      <c r="F13">
        <v>8837.1768258743832</v>
      </c>
      <c r="G13" s="99">
        <v>12274.405337286904</v>
      </c>
      <c r="H13" s="99">
        <v>12818.438775244898</v>
      </c>
      <c r="I13" s="99">
        <v>16898.658492094139</v>
      </c>
      <c r="J13" s="99">
        <v>15795.862592637272</v>
      </c>
      <c r="K13" s="99">
        <v>13284.316742256158</v>
      </c>
      <c r="L13" s="99">
        <v>15033.953038976337</v>
      </c>
      <c r="M13" s="99">
        <v>15455.866592645916</v>
      </c>
      <c r="N13" s="99">
        <v>17609.955069200027</v>
      </c>
      <c r="O13" s="99">
        <v>16467.861265808551</v>
      </c>
      <c r="P13" s="99">
        <v>15810.020152974306</v>
      </c>
      <c r="Q13" s="99">
        <v>14998.545936982806</v>
      </c>
      <c r="R13" s="99">
        <v>11580.071193912567</v>
      </c>
      <c r="S13" s="99">
        <v>13558.087289319876</v>
      </c>
      <c r="T13" s="99">
        <v>12699.460476193994</v>
      </c>
      <c r="U13" s="99"/>
      <c r="V13" s="99"/>
      <c r="W13" s="99"/>
    </row>
    <row r="14" spans="1:23">
      <c r="A14" t="s">
        <v>288</v>
      </c>
      <c r="B14">
        <v>0.38800000000000001</v>
      </c>
      <c r="C14" t="s">
        <v>296</v>
      </c>
      <c r="D14">
        <v>1843.388382189723</v>
      </c>
      <c r="E14" s="47">
        <v>3825.133449639864</v>
      </c>
      <c r="F14">
        <v>5630.2538726424646</v>
      </c>
      <c r="G14" s="99">
        <v>7820.1465859890295</v>
      </c>
      <c r="H14" s="99">
        <v>8166.7557385796727</v>
      </c>
      <c r="I14" s="99">
        <v>10766.304589380174</v>
      </c>
      <c r="J14" s="99">
        <v>10063.702275768903</v>
      </c>
      <c r="K14" s="99">
        <v>8463.5712577921022</v>
      </c>
      <c r="L14" s="99">
        <v>9578.2820675251551</v>
      </c>
      <c r="M14" s="99">
        <v>9847.0874186315541</v>
      </c>
      <c r="N14" s="99">
        <v>11219.478763299854</v>
      </c>
      <c r="O14" s="99">
        <v>10491.839361467519</v>
      </c>
      <c r="P14" s="99">
        <v>10072.722199267702</v>
      </c>
      <c r="Q14" s="99">
        <v>9555.7238481926579</v>
      </c>
      <c r="R14" s="99">
        <v>7377.7793485025877</v>
      </c>
      <c r="S14" s="99">
        <v>8637.9932155272782</v>
      </c>
      <c r="T14" s="99">
        <v>8090.9534725176845</v>
      </c>
      <c r="U14" s="99"/>
      <c r="V14" s="99"/>
      <c r="W14" s="99"/>
    </row>
    <row r="15" spans="1:23">
      <c r="A15" t="s">
        <v>289</v>
      </c>
      <c r="B15">
        <v>3.0000000000000001E-3</v>
      </c>
      <c r="C15" t="s">
        <v>296</v>
      </c>
      <c r="D15">
        <v>14.253002955075177</v>
      </c>
      <c r="E15" s="47">
        <v>29.575774095153587</v>
      </c>
      <c r="F15">
        <v>43.532890767854106</v>
      </c>
      <c r="G15" s="99">
        <v>60.465050922595594</v>
      </c>
      <c r="H15" s="99">
        <v>63.145018597265512</v>
      </c>
      <c r="I15" s="99">
        <v>83.244623113764234</v>
      </c>
      <c r="J15" s="99">
        <v>77.812130998213163</v>
      </c>
      <c r="K15" s="99">
        <v>65.439983952000787</v>
      </c>
      <c r="L15" s="99">
        <v>74.058881965400673</v>
      </c>
      <c r="M15" s="99">
        <v>76.137273855398604</v>
      </c>
      <c r="N15" s="99">
        <v>86.748547138916393</v>
      </c>
      <c r="O15" s="99">
        <v>81.122469289697307</v>
      </c>
      <c r="P15" s="99">
        <v>77.881872674750284</v>
      </c>
      <c r="Q15" s="99">
        <v>73.884462743757666</v>
      </c>
      <c r="R15" s="99">
        <v>57.044685684298358</v>
      </c>
      <c r="S15" s="99">
        <v>66.788607336551109</v>
      </c>
      <c r="T15" s="99">
        <v>62.55891860194086</v>
      </c>
      <c r="U15" s="99"/>
      <c r="V15" s="99"/>
      <c r="W15" s="99"/>
    </row>
    <row r="16" spans="1:23">
      <c r="A16" t="s">
        <v>290</v>
      </c>
      <c r="B16">
        <v>0.7</v>
      </c>
      <c r="C16" t="s">
        <v>295</v>
      </c>
      <c r="D16">
        <v>36952.229883528242</v>
      </c>
      <c r="E16" s="47">
        <v>76677.932839287081</v>
      </c>
      <c r="F16">
        <v>112863.05013888102</v>
      </c>
      <c r="G16" s="99">
        <v>156761.24313265522</v>
      </c>
      <c r="H16" s="99">
        <v>163709.30747439206</v>
      </c>
      <c r="I16" s="99">
        <v>215819.39325790724</v>
      </c>
      <c r="J16" s="99">
        <v>201735.15443981191</v>
      </c>
      <c r="K16" s="99">
        <v>169659.21765333536</v>
      </c>
      <c r="L16" s="99">
        <v>192004.50879918694</v>
      </c>
      <c r="M16" s="99">
        <v>197392.93221770009</v>
      </c>
      <c r="N16" s="99">
        <v>224903.640730524</v>
      </c>
      <c r="O16" s="99">
        <v>210317.5129732893</v>
      </c>
      <c r="P16" s="99">
        <v>201915.96619379701</v>
      </c>
      <c r="Q16" s="99">
        <v>191552.3108171495</v>
      </c>
      <c r="R16" s="99">
        <v>147893.62955188463</v>
      </c>
      <c r="S16" s="99">
        <v>173155.64865031769</v>
      </c>
      <c r="T16" s="99">
        <v>162189.7889679948</v>
      </c>
      <c r="U16" s="99"/>
      <c r="V16" s="99"/>
      <c r="W16" s="99"/>
    </row>
    <row r="17" spans="1:23">
      <c r="A17" t="s">
        <v>291</v>
      </c>
      <c r="B17">
        <v>0.3</v>
      </c>
      <c r="C17" t="s">
        <v>295</v>
      </c>
      <c r="D17">
        <v>15836.669950083531</v>
      </c>
      <c r="E17" s="47">
        <v>32861.971216837323</v>
      </c>
      <c r="F17">
        <v>48369.87863094901</v>
      </c>
      <c r="G17" s="99">
        <v>67183.389913995095</v>
      </c>
      <c r="H17" s="99">
        <v>70161.13177473945</v>
      </c>
      <c r="I17" s="99">
        <v>92494.025681960251</v>
      </c>
      <c r="J17" s="99">
        <v>86457.923331347964</v>
      </c>
      <c r="K17" s="99">
        <v>72711.093280000874</v>
      </c>
      <c r="L17" s="99">
        <v>82287.646628222967</v>
      </c>
      <c r="M17" s="99">
        <v>84596.970950442905</v>
      </c>
      <c r="N17" s="99">
        <v>96387.274598795993</v>
      </c>
      <c r="O17" s="99">
        <v>90136.076988552566</v>
      </c>
      <c r="P17" s="99">
        <v>86535.414083055861</v>
      </c>
      <c r="Q17" s="99">
        <v>82093.84749306408</v>
      </c>
      <c r="R17" s="99">
        <v>63382.98409366484</v>
      </c>
      <c r="S17" s="99">
        <v>74209.563707279012</v>
      </c>
      <c r="T17" s="99">
        <v>69509.909557712061</v>
      </c>
      <c r="U17" s="99"/>
      <c r="V17" s="99"/>
      <c r="W17" s="99"/>
    </row>
    <row r="18" spans="1:23">
      <c r="A18" t="s">
        <v>194</v>
      </c>
      <c r="B18">
        <v>0.5</v>
      </c>
      <c r="C18" t="s">
        <v>295</v>
      </c>
      <c r="D18">
        <v>26394.449916805886</v>
      </c>
      <c r="E18" s="47">
        <v>54769.952028062202</v>
      </c>
      <c r="F18">
        <v>80616.464384915016</v>
      </c>
      <c r="G18" s="99">
        <v>111972.31652332516</v>
      </c>
      <c r="H18" s="99">
        <v>116935.21962456575</v>
      </c>
      <c r="I18" s="99">
        <v>154156.70946993376</v>
      </c>
      <c r="J18" s="99">
        <v>144096.53888557994</v>
      </c>
      <c r="K18" s="99">
        <v>121185.15546666813</v>
      </c>
      <c r="L18" s="99">
        <v>137146.07771370496</v>
      </c>
      <c r="M18" s="99">
        <v>140994.9515840715</v>
      </c>
      <c r="N18" s="99">
        <v>160645.45766466</v>
      </c>
      <c r="O18" s="99">
        <v>150226.79498092094</v>
      </c>
      <c r="P18" s="99">
        <v>144225.69013842643</v>
      </c>
      <c r="Q18" s="99">
        <v>136823.0791551068</v>
      </c>
      <c r="R18" s="99">
        <v>105638.30682277474</v>
      </c>
      <c r="S18" s="99">
        <v>123682.60617879836</v>
      </c>
      <c r="T18" s="99">
        <v>115849.84926285344</v>
      </c>
      <c r="U18" s="99"/>
      <c r="V18" s="99"/>
      <c r="W18" s="99"/>
    </row>
    <row r="19" spans="1:23">
      <c r="A19" t="s">
        <v>195</v>
      </c>
      <c r="B19">
        <v>0.2</v>
      </c>
      <c r="C19" t="s">
        <v>295</v>
      </c>
      <c r="D19">
        <v>10557.779966722355</v>
      </c>
      <c r="E19" s="47">
        <v>21907.980811224883</v>
      </c>
      <c r="F19">
        <v>32246.585753966006</v>
      </c>
      <c r="G19" s="99">
        <v>44788.926609330068</v>
      </c>
      <c r="H19" s="99">
        <v>46774.087849826305</v>
      </c>
      <c r="I19" s="99">
        <v>61662.68378797351</v>
      </c>
      <c r="J19" s="99">
        <v>57638.615554231976</v>
      </c>
      <c r="K19" s="99">
        <v>48474.062186667259</v>
      </c>
      <c r="L19" s="99">
        <v>54858.431085481985</v>
      </c>
      <c r="M19" s="99">
        <v>56397.980633628606</v>
      </c>
      <c r="N19" s="99">
        <v>64258.183065864003</v>
      </c>
      <c r="O19" s="99">
        <v>60090.71799236838</v>
      </c>
      <c r="P19" s="99">
        <v>57690.276055370574</v>
      </c>
      <c r="Q19" s="99">
        <v>54729.231662042723</v>
      </c>
      <c r="R19" s="99">
        <v>42255.322729109903</v>
      </c>
      <c r="S19" s="99">
        <v>49473.042471519351</v>
      </c>
      <c r="T19" s="99">
        <v>46339.939705141383</v>
      </c>
      <c r="U19" s="99"/>
      <c r="V19" s="99"/>
      <c r="W19" s="99"/>
    </row>
    <row r="20" spans="1:23">
      <c r="A20" t="s">
        <v>297</v>
      </c>
      <c r="B20" t="s">
        <v>298</v>
      </c>
      <c r="C20" t="s">
        <v>298</v>
      </c>
      <c r="D20">
        <v>0</v>
      </c>
      <c r="E20" s="47">
        <v>8212.2832903207891</v>
      </c>
      <c r="F20">
        <v>22674.02198828803</v>
      </c>
      <c r="G20" s="99">
        <v>44410.203474661503</v>
      </c>
      <c r="H20" s="99">
        <v>95689.110440721255</v>
      </c>
      <c r="I20" s="99">
        <v>85748.221860119942</v>
      </c>
      <c r="J20" s="99">
        <v>110378.44527529409</v>
      </c>
      <c r="K20" s="99">
        <v>127910.59037938686</v>
      </c>
      <c r="L20" s="99">
        <v>152278.37882765671</v>
      </c>
      <c r="M20" s="99">
        <v>173495.34528757332</v>
      </c>
      <c r="N20" s="99">
        <v>235925.49563256503</v>
      </c>
      <c r="O20" s="99">
        <v>329297.39983069903</v>
      </c>
      <c r="P20" s="99">
        <v>343063.53531500464</v>
      </c>
      <c r="Q20" s="99">
        <v>325241.22409829585</v>
      </c>
      <c r="R20" s="99">
        <v>311077.75307598646</v>
      </c>
      <c r="S20" s="99">
        <v>152416.41887737083</v>
      </c>
      <c r="T20" s="99">
        <v>169761.40276674018</v>
      </c>
      <c r="U20" s="99"/>
      <c r="V20" s="99"/>
      <c r="W20" s="99"/>
    </row>
    <row r="21" spans="1:23">
      <c r="A21" t="s">
        <v>200</v>
      </c>
      <c r="B21">
        <v>5.0000000000000001E-3</v>
      </c>
      <c r="C21" t="s">
        <v>295</v>
      </c>
      <c r="E21" s="47">
        <v>41.061416451603947</v>
      </c>
      <c r="F21">
        <v>113.37010994144015</v>
      </c>
      <c r="G21" s="99">
        <v>222.05101737330753</v>
      </c>
      <c r="H21" s="99">
        <v>478.44555220360627</v>
      </c>
      <c r="I21" s="99">
        <v>428.7411093005997</v>
      </c>
      <c r="J21" s="99">
        <v>551.89222637647049</v>
      </c>
      <c r="K21" s="99">
        <v>639.55295189693436</v>
      </c>
      <c r="L21" s="99">
        <v>761.39189413828353</v>
      </c>
      <c r="M21" s="99">
        <v>867.47672643786666</v>
      </c>
      <c r="N21" s="99">
        <v>1179.6274781628251</v>
      </c>
      <c r="O21" s="99">
        <v>1646.4869991534952</v>
      </c>
      <c r="P21" s="99">
        <v>1715.3176765750231</v>
      </c>
      <c r="Q21" s="99">
        <v>1626.2061204914792</v>
      </c>
      <c r="R21" s="99">
        <v>1555.3887653799322</v>
      </c>
      <c r="S21" s="99">
        <v>762.08209438685412</v>
      </c>
      <c r="T21" s="99">
        <v>848.80701383370092</v>
      </c>
      <c r="U21" s="99"/>
      <c r="V21" s="99"/>
      <c r="W21" s="99"/>
    </row>
    <row r="22" spans="1:23">
      <c r="A22" t="s">
        <v>299</v>
      </c>
      <c r="B22">
        <v>0.995</v>
      </c>
      <c r="C22" t="s">
        <v>295</v>
      </c>
      <c r="E22" s="47">
        <v>8171.2218738691854</v>
      </c>
      <c r="F22">
        <v>22560.651878346591</v>
      </c>
      <c r="G22" s="99">
        <v>44188.152457288197</v>
      </c>
      <c r="H22" s="99">
        <v>95210.664888517655</v>
      </c>
      <c r="I22" s="99">
        <v>85319.480750819348</v>
      </c>
      <c r="J22" s="99">
        <v>109826.55304891762</v>
      </c>
      <c r="K22" s="99">
        <v>127271.03742748992</v>
      </c>
      <c r="L22" s="99">
        <v>151516.98693351843</v>
      </c>
      <c r="M22" s="99">
        <v>172627.86856113546</v>
      </c>
      <c r="N22" s="99">
        <v>234745.86815440221</v>
      </c>
      <c r="O22" s="99">
        <v>327650.91283154552</v>
      </c>
      <c r="P22" s="99">
        <v>341348.2176384296</v>
      </c>
      <c r="Q22" s="99">
        <v>323615.01797780435</v>
      </c>
      <c r="R22" s="99">
        <v>309522.3643106065</v>
      </c>
      <c r="S22" s="99">
        <v>151654.33678298397</v>
      </c>
      <c r="T22" s="99">
        <v>168912.59575290649</v>
      </c>
      <c r="U22" s="99"/>
      <c r="V22" s="99"/>
      <c r="W22" s="99"/>
    </row>
    <row r="23" spans="1:23">
      <c r="A23" t="s">
        <v>196</v>
      </c>
      <c r="B23">
        <v>0.8</v>
      </c>
      <c r="C23" t="s">
        <v>300</v>
      </c>
      <c r="E23" s="47">
        <v>6536.9774990953483</v>
      </c>
      <c r="F23">
        <v>18048.521502677275</v>
      </c>
      <c r="G23" s="99">
        <v>35350.521965830558</v>
      </c>
      <c r="H23" s="99">
        <v>76168.531910814127</v>
      </c>
      <c r="I23" s="99">
        <v>68255.584600655478</v>
      </c>
      <c r="J23" s="99">
        <v>87861.242439134105</v>
      </c>
      <c r="K23" s="99">
        <v>101816.82994199195</v>
      </c>
      <c r="L23" s="99">
        <v>121213.58954681475</v>
      </c>
      <c r="M23" s="99">
        <v>138102.29484890838</v>
      </c>
      <c r="N23" s="99">
        <v>187796.69452352179</v>
      </c>
      <c r="O23" s="99">
        <v>262120.73026523643</v>
      </c>
      <c r="P23" s="99">
        <v>273078.57411074371</v>
      </c>
      <c r="Q23" s="99">
        <v>258892.01438224351</v>
      </c>
      <c r="R23" s="99">
        <v>247617.8914484852</v>
      </c>
      <c r="S23" s="99">
        <v>121323.46942638718</v>
      </c>
      <c r="T23" s="99">
        <v>135130.07660232519</v>
      </c>
      <c r="U23" s="99"/>
      <c r="V23" s="99"/>
      <c r="W23" s="99"/>
    </row>
    <row r="24" spans="1:23">
      <c r="A24" t="s">
        <v>198</v>
      </c>
      <c r="B24">
        <v>0.2</v>
      </c>
      <c r="C24" t="s">
        <v>300</v>
      </c>
      <c r="E24" s="47">
        <v>1634.2443747738371</v>
      </c>
      <c r="F24">
        <v>4512.1303756693187</v>
      </c>
      <c r="G24" s="99">
        <v>8837.6304914576394</v>
      </c>
      <c r="H24" s="99">
        <v>19042.132977703532</v>
      </c>
      <c r="I24" s="99">
        <v>17063.89615016387</v>
      </c>
      <c r="J24" s="99">
        <v>21965.310609783526</v>
      </c>
      <c r="K24" s="99">
        <v>25454.207485497987</v>
      </c>
      <c r="L24" s="99">
        <v>30303.397386703688</v>
      </c>
      <c r="M24" s="99">
        <v>34525.573712227095</v>
      </c>
      <c r="N24" s="99">
        <v>46949.173630880447</v>
      </c>
      <c r="O24" s="99">
        <v>65530.182566309108</v>
      </c>
      <c r="P24" s="99">
        <v>68269.643527685927</v>
      </c>
      <c r="Q24" s="99">
        <v>64723.003595560876</v>
      </c>
      <c r="R24" s="99">
        <v>61904.4728621213</v>
      </c>
      <c r="S24" s="99">
        <v>30330.867356596795</v>
      </c>
      <c r="T24" s="99">
        <v>33782.519150581298</v>
      </c>
      <c r="U24" s="99"/>
      <c r="V24" s="99"/>
      <c r="W24" s="99"/>
    </row>
    <row r="25" spans="1:23">
      <c r="A25" t="s">
        <v>99</v>
      </c>
      <c r="B25">
        <v>0.3</v>
      </c>
      <c r="C25" t="s">
        <v>295</v>
      </c>
      <c r="E25" s="47">
        <v>2463.6849870962365</v>
      </c>
      <c r="F25">
        <v>6802.2065964864087</v>
      </c>
      <c r="G25" s="99">
        <v>13323.061042398451</v>
      </c>
      <c r="H25" s="99">
        <v>28706.733132216377</v>
      </c>
      <c r="I25" s="99">
        <v>25724.466558035983</v>
      </c>
      <c r="J25" s="99">
        <v>33113.533582588221</v>
      </c>
      <c r="K25" s="99">
        <v>38373.177113816055</v>
      </c>
      <c r="L25" s="99">
        <v>45683.513648297012</v>
      </c>
      <c r="M25" s="99">
        <v>52048.603586271995</v>
      </c>
      <c r="N25" s="99">
        <v>70777.648689769499</v>
      </c>
      <c r="O25" s="99">
        <v>98789.219949209699</v>
      </c>
      <c r="P25" s="99">
        <v>102919.0605945014</v>
      </c>
      <c r="Q25" s="99">
        <v>97572.367229488751</v>
      </c>
      <c r="R25" s="99">
        <v>93323.325922795935</v>
      </c>
      <c r="S25" s="99">
        <v>45724.925663211245</v>
      </c>
      <c r="T25" s="99">
        <v>50928.420830022056</v>
      </c>
      <c r="U25" s="99"/>
      <c r="V25" s="99"/>
      <c r="W25" s="99"/>
    </row>
    <row r="26" spans="1:23">
      <c r="A26" t="s">
        <v>301</v>
      </c>
      <c r="B26">
        <v>0.60899999999999999</v>
      </c>
      <c r="C26" t="s">
        <v>302</v>
      </c>
      <c r="E26" s="47">
        <v>1500.3841571416081</v>
      </c>
      <c r="F26">
        <v>4142.5438172602226</v>
      </c>
      <c r="G26" s="99">
        <v>8113.7441748206566</v>
      </c>
      <c r="H26" s="99">
        <v>17482.400477519772</v>
      </c>
      <c r="I26" s="99">
        <v>15666.200133843913</v>
      </c>
      <c r="J26" s="99">
        <v>20166.141951796228</v>
      </c>
      <c r="K26" s="99">
        <v>23369.264862313976</v>
      </c>
      <c r="L26" s="99">
        <v>27821.259811812881</v>
      </c>
      <c r="M26" s="99">
        <v>31697.599584039643</v>
      </c>
      <c r="N26" s="99">
        <v>43103.588052069623</v>
      </c>
      <c r="O26" s="99">
        <v>60162.634949068706</v>
      </c>
      <c r="P26" s="99">
        <v>62677.707902051348</v>
      </c>
      <c r="Q26" s="99">
        <v>59421.571642758645</v>
      </c>
      <c r="R26" s="99">
        <v>56833.905486982723</v>
      </c>
      <c r="S26" s="99">
        <v>27846.479728895647</v>
      </c>
      <c r="T26" s="99">
        <v>31015.408285483431</v>
      </c>
      <c r="U26" s="99"/>
      <c r="V26" s="99"/>
      <c r="W26" s="99"/>
    </row>
    <row r="27" spans="1:23">
      <c r="A27" t="s">
        <v>303</v>
      </c>
      <c r="B27">
        <v>0.38800000000000001</v>
      </c>
      <c r="C27" t="s">
        <v>302</v>
      </c>
      <c r="E27" s="47">
        <v>955.90977499333974</v>
      </c>
      <c r="F27">
        <v>2639.2561594367266</v>
      </c>
      <c r="G27" s="99">
        <v>5169.3476844505994</v>
      </c>
      <c r="H27" s="99">
        <v>11138.212455299954</v>
      </c>
      <c r="I27" s="99">
        <v>9981.0930245179625</v>
      </c>
      <c r="J27" s="99">
        <v>12848.051030044231</v>
      </c>
      <c r="K27" s="99">
        <v>14888.792720160629</v>
      </c>
      <c r="L27" s="99">
        <v>17725.203295539242</v>
      </c>
      <c r="M27" s="99">
        <v>20194.858191473533</v>
      </c>
      <c r="N27" s="99">
        <v>27461.727691630567</v>
      </c>
      <c r="O27" s="99">
        <v>38330.217340293362</v>
      </c>
      <c r="P27" s="99">
        <v>39932.595510666542</v>
      </c>
      <c r="Q27" s="99">
        <v>37858.078485041638</v>
      </c>
      <c r="R27" s="99">
        <v>36209.450458044827</v>
      </c>
      <c r="S27" s="99">
        <v>17741.271157325962</v>
      </c>
      <c r="T27" s="99">
        <v>19760.22728204856</v>
      </c>
      <c r="U27" s="99"/>
      <c r="V27" s="99"/>
      <c r="W27" s="99"/>
    </row>
    <row r="28" spans="1:23">
      <c r="A28" t="s">
        <v>304</v>
      </c>
      <c r="B28">
        <v>3.0000000000000001E-3</v>
      </c>
      <c r="C28" t="s">
        <v>302</v>
      </c>
      <c r="E28">
        <v>7.3910549612887095</v>
      </c>
      <c r="F28">
        <v>20.406619789459228</v>
      </c>
      <c r="G28" s="99">
        <v>39.96918312719535</v>
      </c>
      <c r="H28" s="99">
        <v>86.120199396649127</v>
      </c>
      <c r="I28" s="99">
        <v>77.173399674107955</v>
      </c>
      <c r="J28" s="99">
        <v>99.340600747764668</v>
      </c>
      <c r="K28" s="99">
        <v>115.11953134144817</v>
      </c>
      <c r="L28" s="99">
        <v>137.05054094489103</v>
      </c>
      <c r="M28" s="99">
        <v>156.145810758816</v>
      </c>
      <c r="N28" s="99">
        <v>212.33294606930849</v>
      </c>
      <c r="O28" s="99">
        <v>296.36765984762911</v>
      </c>
      <c r="P28" s="99">
        <v>308.75718178350417</v>
      </c>
      <c r="Q28" s="99">
        <v>292.71710168846624</v>
      </c>
      <c r="R28" s="99">
        <v>279.96997776838782</v>
      </c>
      <c r="S28" s="99">
        <v>137.17477698963373</v>
      </c>
      <c r="T28" s="99">
        <v>152.78526249006617</v>
      </c>
      <c r="U28" s="99"/>
      <c r="V28" s="99"/>
      <c r="W28" s="99"/>
    </row>
    <row r="29" spans="1:23">
      <c r="A29" t="s">
        <v>283</v>
      </c>
      <c r="B29">
        <v>0.1</v>
      </c>
      <c r="C29" t="s">
        <v>295</v>
      </c>
      <c r="E29" s="47">
        <v>821.22832903207893</v>
      </c>
      <c r="F29">
        <v>2267.4021988288032</v>
      </c>
      <c r="G29" s="99">
        <v>4441.0203474661503</v>
      </c>
      <c r="H29" s="99">
        <v>9568.9110440721252</v>
      </c>
      <c r="I29" s="99">
        <v>8574.8221860119938</v>
      </c>
      <c r="J29" s="99">
        <v>11037.844527529409</v>
      </c>
      <c r="K29" s="99">
        <v>12791.059037938687</v>
      </c>
      <c r="L29" s="99">
        <v>15227.837882765671</v>
      </c>
      <c r="M29" s="99">
        <v>17349.534528757333</v>
      </c>
      <c r="N29" s="99">
        <v>23592.549563256503</v>
      </c>
      <c r="O29" s="99">
        <v>32929.739983069907</v>
      </c>
      <c r="P29" s="99">
        <v>34306.353531500463</v>
      </c>
      <c r="Q29" s="99">
        <v>32524.122409829586</v>
      </c>
      <c r="R29" s="99">
        <v>31107.775307598647</v>
      </c>
      <c r="S29" s="99">
        <v>15241.641887737083</v>
      </c>
      <c r="T29" s="99">
        <v>16976.140276674018</v>
      </c>
      <c r="U29" s="99"/>
      <c r="V29" s="99"/>
      <c r="W29" s="99"/>
    </row>
    <row r="30" spans="1:23">
      <c r="A30" t="s">
        <v>305</v>
      </c>
      <c r="B30">
        <v>0.1105</v>
      </c>
      <c r="C30" t="s">
        <v>295</v>
      </c>
      <c r="E30">
        <v>907.45730358044716</v>
      </c>
      <c r="F30">
        <v>2505.4794297058274</v>
      </c>
      <c r="G30" s="99">
        <v>4907.3274839500964</v>
      </c>
      <c r="H30" s="99">
        <v>10573.646703699698</v>
      </c>
      <c r="I30" s="99">
        <v>9475.1785155432535</v>
      </c>
      <c r="J30" s="99">
        <v>12196.818202919996</v>
      </c>
      <c r="K30" s="99">
        <v>14134.120236922248</v>
      </c>
      <c r="L30" s="99">
        <v>16826.760860456066</v>
      </c>
      <c r="M30" s="99">
        <v>19171.23565427685</v>
      </c>
      <c r="N30" s="99">
        <v>26069.767267398434</v>
      </c>
      <c r="O30" s="99">
        <v>36387.362681292245</v>
      </c>
      <c r="P30" s="99">
        <v>37908.520652308012</v>
      </c>
      <c r="Q30" s="99">
        <v>35939.155262861692</v>
      </c>
      <c r="R30" s="99">
        <v>34374.091714896502</v>
      </c>
      <c r="S30" s="99">
        <v>16842.014285949477</v>
      </c>
      <c r="T30" s="99">
        <v>18758.635005724791</v>
      </c>
      <c r="U30" s="99"/>
      <c r="V30" s="99"/>
      <c r="W30" s="99"/>
    </row>
    <row r="31" spans="1:23">
      <c r="A31" t="s">
        <v>210</v>
      </c>
      <c r="B31">
        <v>0.442</v>
      </c>
      <c r="C31" t="s">
        <v>295</v>
      </c>
      <c r="E31" s="47">
        <v>3629.8292143217886</v>
      </c>
      <c r="F31">
        <v>10021.91771882331</v>
      </c>
      <c r="G31" s="99">
        <v>19629.309935800386</v>
      </c>
      <c r="H31" s="99">
        <v>42294.586814798793</v>
      </c>
      <c r="I31" s="99">
        <v>37900.714062173014</v>
      </c>
      <c r="J31" s="99">
        <v>48787.272811679984</v>
      </c>
      <c r="K31" s="99">
        <v>56536.480947688993</v>
      </c>
      <c r="L31" s="99">
        <v>67307.043441824266</v>
      </c>
      <c r="M31" s="99">
        <v>76684.942617107401</v>
      </c>
      <c r="N31" s="99">
        <v>104279.06906959374</v>
      </c>
      <c r="O31" s="99">
        <v>145549.45072516898</v>
      </c>
      <c r="P31" s="99">
        <v>151634.08260923205</v>
      </c>
      <c r="Q31" s="99">
        <v>143756.62105144677</v>
      </c>
      <c r="R31" s="99">
        <v>137496.36685958601</v>
      </c>
      <c r="S31" s="99">
        <v>67368.057143797909</v>
      </c>
      <c r="T31" s="99">
        <v>75034.540022899164</v>
      </c>
      <c r="U31" s="99"/>
      <c r="V31" s="99"/>
      <c r="W31" s="99"/>
    </row>
    <row r="32" spans="1:23">
      <c r="A32" t="s">
        <v>306</v>
      </c>
      <c r="B32">
        <v>0.29749999999999999</v>
      </c>
      <c r="C32" t="s">
        <v>295</v>
      </c>
      <c r="E32">
        <v>2443.1542788704346</v>
      </c>
      <c r="F32">
        <v>6745.521541515689</v>
      </c>
      <c r="G32" s="99">
        <v>13212.035533711796</v>
      </c>
      <c r="H32" s="99">
        <v>28467.510356114573</v>
      </c>
      <c r="I32" s="99">
        <v>25510.096003385683</v>
      </c>
      <c r="J32" s="99">
        <v>32837.587469399987</v>
      </c>
      <c r="K32" s="99">
        <v>38053.400637867591</v>
      </c>
      <c r="L32" s="99">
        <v>45302.817701227868</v>
      </c>
      <c r="M32" s="99">
        <v>51614.865223053057</v>
      </c>
      <c r="N32" s="99">
        <v>70187.834950688091</v>
      </c>
      <c r="O32" s="99">
        <v>97965.976449632959</v>
      </c>
      <c r="P32" s="99">
        <v>102061.40175621388</v>
      </c>
      <c r="Q32" s="99">
        <v>96759.264169243004</v>
      </c>
      <c r="R32" s="99">
        <v>92545.631540105969</v>
      </c>
      <c r="S32" s="99">
        <v>45343.884616017822</v>
      </c>
      <c r="T32" s="99">
        <v>50504.017323105203</v>
      </c>
      <c r="U32" s="99"/>
      <c r="V32" s="99"/>
      <c r="W32" s="99"/>
    </row>
    <row r="33" spans="1:23">
      <c r="A33" t="s">
        <v>307</v>
      </c>
      <c r="B33">
        <v>0.05</v>
      </c>
      <c r="C33" t="s">
        <v>295</v>
      </c>
      <c r="E33">
        <v>410.61416451603947</v>
      </c>
      <c r="F33">
        <v>1133.7010994144016</v>
      </c>
      <c r="G33" s="99">
        <v>2220.5101737330751</v>
      </c>
      <c r="H33" s="99">
        <v>4784.4555220360626</v>
      </c>
      <c r="I33" s="99">
        <v>4287.4110930059969</v>
      </c>
      <c r="J33" s="99">
        <v>5518.9222637647044</v>
      </c>
      <c r="K33" s="99">
        <v>6395.5295189693434</v>
      </c>
      <c r="L33" s="99">
        <v>7613.9189413828353</v>
      </c>
      <c r="M33" s="99">
        <v>8674.7672643786664</v>
      </c>
      <c r="N33" s="99">
        <v>11796.274781628252</v>
      </c>
      <c r="O33" s="99">
        <v>16464.869991534953</v>
      </c>
      <c r="P33" s="99">
        <v>17153.176765750231</v>
      </c>
      <c r="Q33" s="99">
        <v>16262.061204914793</v>
      </c>
      <c r="R33" s="99">
        <v>15553.887653799324</v>
      </c>
      <c r="S33" s="99">
        <v>7620.8209438685417</v>
      </c>
      <c r="T33" s="99">
        <v>8488.0701383370088</v>
      </c>
      <c r="U33" s="99"/>
      <c r="V33" s="99"/>
      <c r="W33" s="99"/>
    </row>
    <row r="34" spans="1:23">
      <c r="G34" s="99"/>
      <c r="H34" s="99"/>
      <c r="I34" s="99"/>
      <c r="J34" s="99"/>
      <c r="K34" s="99"/>
      <c r="L34" s="99"/>
      <c r="M34" s="99"/>
      <c r="N34" s="99"/>
      <c r="O34" s="99"/>
      <c r="P34" s="99"/>
      <c r="Q34" s="99"/>
      <c r="R34" s="99"/>
      <c r="S34" s="99"/>
      <c r="T34" s="99"/>
      <c r="U34" s="99"/>
      <c r="V34" s="99"/>
      <c r="W34" s="99"/>
    </row>
    <row r="35" spans="1:23">
      <c r="G35" s="99"/>
      <c r="H35" s="99"/>
      <c r="I35" s="99"/>
      <c r="J35" s="99"/>
      <c r="K35" s="99"/>
      <c r="L35" s="99"/>
      <c r="M35" s="99"/>
      <c r="N35" s="99"/>
      <c r="O35" s="99"/>
      <c r="P35" s="99"/>
      <c r="Q35" s="99"/>
      <c r="R35" s="99"/>
      <c r="S35" s="99"/>
      <c r="T35" s="99"/>
      <c r="U35" s="99"/>
      <c r="V35" s="99"/>
      <c r="W35" s="99"/>
    </row>
    <row r="36" spans="1:23">
      <c r="D36">
        <v>0</v>
      </c>
      <c r="E36">
        <v>73910.549612887102</v>
      </c>
      <c r="F36">
        <v>204066.19789459227</v>
      </c>
      <c r="G36">
        <v>399691.83127195353</v>
      </c>
      <c r="H36">
        <v>861201.99396649131</v>
      </c>
      <c r="I36">
        <v>771733.99674107949</v>
      </c>
      <c r="J36">
        <v>993406.00747764681</v>
      </c>
      <c r="K36">
        <v>1151195.3134144817</v>
      </c>
      <c r="L36">
        <v>1370505.4094489103</v>
      </c>
      <c r="M36">
        <v>1561458.1075881599</v>
      </c>
      <c r="N36">
        <v>2123329.4606930851</v>
      </c>
      <c r="O36">
        <v>2963676.5984762912</v>
      </c>
      <c r="P36">
        <v>3087571.8178350418</v>
      </c>
      <c r="Q36">
        <v>2927171.0168846627</v>
      </c>
      <c r="R36">
        <v>2799699.7776838783</v>
      </c>
      <c r="S36">
        <v>1371747.7698963375</v>
      </c>
      <c r="T36">
        <v>1527852.6249006616</v>
      </c>
    </row>
    <row r="37" spans="1:23">
      <c r="D37">
        <v>0</v>
      </c>
      <c r="E37">
        <v>6159.2124677405918</v>
      </c>
      <c r="F37">
        <v>17005.516491216022</v>
      </c>
      <c r="G37">
        <v>33307.652605996125</v>
      </c>
      <c r="H37">
        <v>71766.832830540938</v>
      </c>
      <c r="I37">
        <v>64311.16639508996</v>
      </c>
      <c r="J37">
        <v>82783.833956470568</v>
      </c>
      <c r="K37">
        <v>95932.942784540137</v>
      </c>
      <c r="L37">
        <v>114208.78412074252</v>
      </c>
      <c r="M37">
        <v>130121.50896567998</v>
      </c>
      <c r="N37">
        <v>176944.12172442375</v>
      </c>
      <c r="O37">
        <v>246973.04987302425</v>
      </c>
      <c r="P37">
        <v>257297.65148625348</v>
      </c>
      <c r="Q37">
        <v>243930.9180737219</v>
      </c>
      <c r="R37">
        <v>233308.31480698986</v>
      </c>
      <c r="S37">
        <v>114312.31415802812</v>
      </c>
      <c r="T37">
        <v>127321.05207505514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69CA8-27AD-47B2-A653-1934B29B33E3}">
  <dimension ref="B2:P117"/>
  <sheetViews>
    <sheetView topLeftCell="A45" zoomScale="115" zoomScaleNormal="115" workbookViewId="0">
      <selection activeCell="E85" sqref="E85"/>
    </sheetView>
  </sheetViews>
  <sheetFormatPr baseColWidth="10" defaultColWidth="9.33203125" defaultRowHeight="10.199999999999999"/>
  <cols>
    <col min="1" max="1" width="4.44140625" style="174" customWidth="1"/>
    <col min="2" max="2" width="14" style="174" customWidth="1"/>
    <col min="3" max="3" width="42.33203125" style="175" bestFit="1" customWidth="1"/>
    <col min="4" max="4" width="10.33203125" style="175" bestFit="1" customWidth="1"/>
    <col min="5" max="5" width="30.33203125" style="174" bestFit="1" customWidth="1"/>
    <col min="6" max="6" width="49" style="174" bestFit="1" customWidth="1"/>
    <col min="7" max="13" width="9.33203125" style="174"/>
    <col min="14" max="14" width="2.33203125" style="174" customWidth="1"/>
    <col min="15" max="15" width="40.33203125" style="174" customWidth="1"/>
    <col min="16" max="16" width="25" style="174" customWidth="1"/>
    <col min="17" max="16384" width="9.33203125" style="174"/>
  </cols>
  <sheetData>
    <row r="2" spans="2:9" ht="12" customHeight="1">
      <c r="B2" s="171" t="s">
        <v>308</v>
      </c>
      <c r="C2" s="172" t="s">
        <v>309</v>
      </c>
      <c r="D2" s="172" t="s">
        <v>310</v>
      </c>
      <c r="E2" s="172" t="s">
        <v>311</v>
      </c>
      <c r="F2" s="173" t="s">
        <v>312</v>
      </c>
      <c r="I2" s="175"/>
    </row>
    <row r="3" spans="2:9" ht="12" customHeight="1">
      <c r="B3" s="176" t="s">
        <v>313</v>
      </c>
      <c r="C3" s="177" t="s">
        <v>314</v>
      </c>
      <c r="D3" s="178"/>
      <c r="E3" s="179">
        <v>0.99</v>
      </c>
      <c r="F3" s="180" t="s">
        <v>315</v>
      </c>
      <c r="I3" s="175"/>
    </row>
    <row r="4" spans="2:9" ht="12" customHeight="1">
      <c r="B4" s="181" t="s">
        <v>313</v>
      </c>
      <c r="C4" s="182" t="s">
        <v>316</v>
      </c>
      <c r="D4" s="183"/>
      <c r="E4" s="184">
        <f>1-E3</f>
        <v>1.0000000000000009E-2</v>
      </c>
      <c r="F4" s="185" t="s">
        <v>315</v>
      </c>
      <c r="I4" s="175"/>
    </row>
    <row r="5" spans="2:9" ht="12" customHeight="1">
      <c r="B5" s="176" t="s">
        <v>313</v>
      </c>
      <c r="C5" s="177" t="s">
        <v>317</v>
      </c>
      <c r="D5" s="178"/>
      <c r="E5" s="179">
        <v>0.6</v>
      </c>
      <c r="F5" s="180" t="s">
        <v>315</v>
      </c>
      <c r="I5" s="175"/>
    </row>
    <row r="6" spans="2:9" ht="12" customHeight="1">
      <c r="B6" s="181" t="s">
        <v>313</v>
      </c>
      <c r="C6" s="182" t="s">
        <v>318</v>
      </c>
      <c r="D6" s="183"/>
      <c r="E6" s="186">
        <v>0.3</v>
      </c>
      <c r="F6" s="185" t="s">
        <v>315</v>
      </c>
      <c r="I6" s="175"/>
    </row>
    <row r="7" spans="2:9" ht="12" customHeight="1">
      <c r="B7" s="181" t="s">
        <v>313</v>
      </c>
      <c r="C7" s="182" t="s">
        <v>319</v>
      </c>
      <c r="D7" s="183"/>
      <c r="E7" s="186">
        <v>0.05</v>
      </c>
      <c r="F7" s="185" t="s">
        <v>315</v>
      </c>
      <c r="I7" s="175"/>
    </row>
    <row r="8" spans="2:9" ht="12" customHeight="1">
      <c r="B8" s="187" t="s">
        <v>313</v>
      </c>
      <c r="C8" s="188" t="s">
        <v>320</v>
      </c>
      <c r="D8" s="189"/>
      <c r="E8" s="190">
        <f>1-SUM(E5:E7)</f>
        <v>5.0000000000000044E-2</v>
      </c>
      <c r="F8" s="191" t="s">
        <v>315</v>
      </c>
      <c r="I8" s="175"/>
    </row>
    <row r="9" spans="2:9" ht="12" customHeight="1">
      <c r="B9" s="181" t="s">
        <v>313</v>
      </c>
      <c r="C9" s="182" t="s">
        <v>321</v>
      </c>
      <c r="D9" s="183"/>
      <c r="E9" s="186">
        <v>0.1</v>
      </c>
      <c r="F9" s="185" t="s">
        <v>322</v>
      </c>
      <c r="I9" s="175"/>
    </row>
    <row r="10" spans="2:9" ht="12" customHeight="1">
      <c r="B10" s="181" t="s">
        <v>313</v>
      </c>
      <c r="C10" s="182" t="s">
        <v>323</v>
      </c>
      <c r="D10" s="183"/>
      <c r="E10" s="186">
        <v>0</v>
      </c>
      <c r="F10" s="185" t="s">
        <v>324</v>
      </c>
      <c r="I10" s="175"/>
    </row>
    <row r="11" spans="2:9" ht="12" customHeight="1">
      <c r="B11" s="181" t="s">
        <v>313</v>
      </c>
      <c r="C11" s="182" t="s">
        <v>325</v>
      </c>
      <c r="D11" s="183"/>
      <c r="E11" s="190">
        <f>SUMPRODUCT(E3:E4,E9:E10)</f>
        <v>9.9000000000000005E-2</v>
      </c>
      <c r="F11" s="185" t="s">
        <v>315</v>
      </c>
      <c r="I11" s="175"/>
    </row>
    <row r="12" spans="2:9" ht="12" customHeight="1">
      <c r="B12" s="176" t="s">
        <v>313</v>
      </c>
      <c r="C12" s="192" t="s">
        <v>326</v>
      </c>
      <c r="D12" s="193"/>
      <c r="E12" s="194">
        <v>0.09</v>
      </c>
      <c r="F12" s="195" t="s">
        <v>322</v>
      </c>
    </row>
    <row r="13" spans="2:9" ht="12" customHeight="1">
      <c r="B13" s="181" t="s">
        <v>313</v>
      </c>
      <c r="C13" s="196" t="s">
        <v>327</v>
      </c>
      <c r="D13" s="197"/>
      <c r="E13" s="198">
        <v>0.05</v>
      </c>
      <c r="F13" s="199" t="s">
        <v>322</v>
      </c>
    </row>
    <row r="14" spans="2:9" ht="12" customHeight="1">
      <c r="B14" s="181" t="s">
        <v>313</v>
      </c>
      <c r="C14" s="196" t="s">
        <v>328</v>
      </c>
      <c r="D14" s="197"/>
      <c r="E14" s="198">
        <v>0.01</v>
      </c>
      <c r="F14" s="199" t="s">
        <v>322</v>
      </c>
    </row>
    <row r="15" spans="2:9" ht="12" customHeight="1">
      <c r="B15" s="181" t="s">
        <v>313</v>
      </c>
      <c r="C15" s="196" t="s">
        <v>329</v>
      </c>
      <c r="D15" s="197"/>
      <c r="E15" s="198">
        <v>0.25</v>
      </c>
      <c r="F15" s="199" t="s">
        <v>322</v>
      </c>
    </row>
    <row r="16" spans="2:9" ht="12" customHeight="1">
      <c r="B16" s="181" t="s">
        <v>313</v>
      </c>
      <c r="C16" s="196" t="s">
        <v>330</v>
      </c>
      <c r="D16" s="197"/>
      <c r="E16" s="190">
        <f>1-SUM(E12:E15)</f>
        <v>0.6</v>
      </c>
      <c r="F16" s="199" t="s">
        <v>322</v>
      </c>
    </row>
    <row r="17" spans="2:6" ht="17.100000000000001" customHeight="1">
      <c r="B17" s="176" t="s">
        <v>313</v>
      </c>
      <c r="C17" s="192" t="s">
        <v>331</v>
      </c>
      <c r="D17" s="193"/>
      <c r="E17" s="200">
        <f>1-SUM(E18:E20)</f>
        <v>0.60899999999999999</v>
      </c>
      <c r="F17" s="201" t="s">
        <v>332</v>
      </c>
    </row>
    <row r="18" spans="2:6" ht="12" customHeight="1">
      <c r="B18" s="181" t="s">
        <v>313</v>
      </c>
      <c r="C18" s="196" t="s">
        <v>333</v>
      </c>
      <c r="D18" s="197"/>
      <c r="E18" s="186">
        <v>0.38800000000000001</v>
      </c>
      <c r="F18" s="202" t="s">
        <v>332</v>
      </c>
    </row>
    <row r="19" spans="2:6" ht="12" customHeight="1">
      <c r="B19" s="181" t="s">
        <v>313</v>
      </c>
      <c r="C19" s="196" t="s">
        <v>334</v>
      </c>
      <c r="D19" s="197"/>
      <c r="E19" s="186">
        <v>3.0000000000000001E-3</v>
      </c>
      <c r="F19" s="202" t="s">
        <v>332</v>
      </c>
    </row>
    <row r="20" spans="2:6" ht="12" customHeight="1">
      <c r="B20" s="187" t="s">
        <v>313</v>
      </c>
      <c r="C20" s="203" t="s">
        <v>335</v>
      </c>
      <c r="D20" s="204"/>
      <c r="E20" s="205">
        <v>0</v>
      </c>
      <c r="F20" s="206" t="s">
        <v>332</v>
      </c>
    </row>
    <row r="21" spans="2:6" ht="12" customHeight="1">
      <c r="B21" s="176" t="s">
        <v>313</v>
      </c>
      <c r="C21" s="192" t="s">
        <v>336</v>
      </c>
      <c r="D21" s="193"/>
      <c r="E21" s="179">
        <v>5.0000000000000001E-3</v>
      </c>
      <c r="F21" s="201" t="s">
        <v>322</v>
      </c>
    </row>
    <row r="22" spans="2:6" ht="12" customHeight="1">
      <c r="B22" s="187" t="s">
        <v>313</v>
      </c>
      <c r="C22" s="203" t="s">
        <v>337</v>
      </c>
      <c r="D22" s="204"/>
      <c r="E22" s="205">
        <v>5.0000000000000001E-3</v>
      </c>
      <c r="F22" s="206" t="s">
        <v>324</v>
      </c>
    </row>
    <row r="23" spans="2:6" ht="12" customHeight="1">
      <c r="B23" s="181" t="s">
        <v>313</v>
      </c>
      <c r="C23" s="196" t="s">
        <v>338</v>
      </c>
      <c r="D23" s="197"/>
      <c r="E23" s="198">
        <v>0.7</v>
      </c>
      <c r="F23" s="199" t="s">
        <v>322</v>
      </c>
    </row>
    <row r="24" spans="2:6" ht="12" customHeight="1">
      <c r="B24" s="187" t="s">
        <v>313</v>
      </c>
      <c r="C24" s="203" t="s">
        <v>339</v>
      </c>
      <c r="D24" s="204"/>
      <c r="E24" s="207">
        <f>1-E23</f>
        <v>0.30000000000000004</v>
      </c>
      <c r="F24" s="208" t="s">
        <v>322</v>
      </c>
    </row>
    <row r="25" spans="2:6" ht="12" customHeight="1">
      <c r="B25" s="181" t="s">
        <v>313</v>
      </c>
      <c r="C25" s="196" t="s">
        <v>340</v>
      </c>
      <c r="D25" s="197"/>
      <c r="E25" s="186">
        <v>0.8</v>
      </c>
      <c r="F25" s="199" t="s">
        <v>341</v>
      </c>
    </row>
    <row r="26" spans="2:6" ht="12" customHeight="1">
      <c r="B26" s="187" t="s">
        <v>313</v>
      </c>
      <c r="C26" s="203" t="s">
        <v>342</v>
      </c>
      <c r="D26" s="204"/>
      <c r="E26" s="190">
        <f>1-E25</f>
        <v>0.19999999999999996</v>
      </c>
      <c r="F26" s="208" t="s">
        <v>341</v>
      </c>
    </row>
    <row r="27" spans="2:6" ht="12" customHeight="1">
      <c r="B27" s="176" t="s">
        <v>313</v>
      </c>
      <c r="C27" s="192" t="s">
        <v>343</v>
      </c>
      <c r="D27" s="193"/>
      <c r="E27" s="194">
        <v>0.2</v>
      </c>
      <c r="F27" s="195" t="s">
        <v>315</v>
      </c>
    </row>
    <row r="28" spans="2:6" ht="12" customHeight="1">
      <c r="B28" s="187" t="s">
        <v>313</v>
      </c>
      <c r="C28" s="203" t="s">
        <v>344</v>
      </c>
      <c r="D28" s="204"/>
      <c r="E28" s="209">
        <v>0.5</v>
      </c>
      <c r="F28" s="208" t="s">
        <v>315</v>
      </c>
    </row>
    <row r="29" spans="2:6" ht="12" customHeight="1">
      <c r="B29" s="181" t="s">
        <v>313</v>
      </c>
      <c r="C29" s="182" t="s">
        <v>345</v>
      </c>
      <c r="D29" s="210"/>
      <c r="E29" s="211">
        <v>371</v>
      </c>
      <c r="F29" s="202"/>
    </row>
    <row r="30" spans="2:6" ht="12" customHeight="1">
      <c r="B30" s="181" t="s">
        <v>313</v>
      </c>
      <c r="C30" s="182" t="s">
        <v>346</v>
      </c>
      <c r="D30" s="210"/>
      <c r="E30" s="212">
        <f>IFERROR(E29/E31,)</f>
        <v>41.222222222222221</v>
      </c>
      <c r="F30" s="202"/>
    </row>
    <row r="31" spans="2:6" ht="12" customHeight="1">
      <c r="B31" s="181" t="s">
        <v>313</v>
      </c>
      <c r="C31" s="182" t="s">
        <v>347</v>
      </c>
      <c r="D31" s="210"/>
      <c r="E31" s="211">
        <v>9</v>
      </c>
      <c r="F31" s="206"/>
    </row>
    <row r="32" spans="2:6" ht="12" customHeight="1">
      <c r="B32" s="176" t="s">
        <v>313</v>
      </c>
      <c r="C32" s="177" t="s">
        <v>348</v>
      </c>
      <c r="D32" s="213"/>
      <c r="E32" s="214">
        <v>750</v>
      </c>
      <c r="F32" s="180"/>
    </row>
    <row r="33" spans="2:16" ht="12" customHeight="1">
      <c r="B33" s="181" t="s">
        <v>313</v>
      </c>
      <c r="C33" s="182" t="s">
        <v>349</v>
      </c>
      <c r="D33" s="215"/>
      <c r="E33" s="216">
        <v>666</v>
      </c>
      <c r="F33" s="185"/>
    </row>
    <row r="34" spans="2:16" ht="12" customHeight="1">
      <c r="B34" s="176" t="s">
        <v>313</v>
      </c>
      <c r="C34" s="177" t="s">
        <v>350</v>
      </c>
      <c r="D34" s="213"/>
      <c r="E34" s="200">
        <f>1-E35</f>
        <v>9.9999999999999978E-2</v>
      </c>
      <c r="F34" s="180" t="s">
        <v>351</v>
      </c>
    </row>
    <row r="35" spans="2:16" ht="12" customHeight="1">
      <c r="B35" s="187" t="s">
        <v>313</v>
      </c>
      <c r="C35" s="188" t="s">
        <v>352</v>
      </c>
      <c r="D35" s="217"/>
      <c r="E35" s="205">
        <v>0.9</v>
      </c>
      <c r="F35" s="191" t="s">
        <v>351</v>
      </c>
    </row>
    <row r="36" spans="2:16" ht="12" customHeight="1">
      <c r="B36" s="181" t="s">
        <v>313</v>
      </c>
      <c r="C36" s="196" t="s">
        <v>353</v>
      </c>
      <c r="D36" s="210"/>
      <c r="E36" s="216">
        <v>27</v>
      </c>
      <c r="F36" s="185"/>
    </row>
    <row r="37" spans="2:16" ht="12" customHeight="1">
      <c r="B37" s="218" t="s">
        <v>313</v>
      </c>
      <c r="C37" s="219" t="s">
        <v>354</v>
      </c>
      <c r="D37" s="220"/>
      <c r="E37" s="221">
        <v>0.4</v>
      </c>
      <c r="F37" s="222"/>
    </row>
    <row r="38" spans="2:16" ht="12" customHeight="1">
      <c r="B38" s="181" t="s">
        <v>313</v>
      </c>
      <c r="C38" s="182" t="s">
        <v>355</v>
      </c>
      <c r="D38" s="183"/>
      <c r="E38" s="223">
        <v>0.15</v>
      </c>
      <c r="F38" s="224"/>
    </row>
    <row r="39" spans="2:16" ht="12" customHeight="1">
      <c r="B39" s="176" t="s">
        <v>313</v>
      </c>
      <c r="C39" s="177" t="s">
        <v>356</v>
      </c>
      <c r="D39" s="178"/>
      <c r="E39" s="225">
        <v>0.05</v>
      </c>
      <c r="F39" s="226"/>
    </row>
    <row r="40" spans="2:16" ht="12" customHeight="1">
      <c r="B40" s="187" t="s">
        <v>313</v>
      </c>
      <c r="C40" s="188" t="s">
        <v>357</v>
      </c>
      <c r="D40" s="189"/>
      <c r="E40" s="227">
        <f>1-E39</f>
        <v>0.95</v>
      </c>
      <c r="F40" s="228"/>
    </row>
    <row r="41" spans="2:16" s="229" customFormat="1" ht="12" customHeight="1">
      <c r="C41" s="230"/>
      <c r="D41" s="231"/>
      <c r="E41" s="232"/>
      <c r="F41" s="233"/>
      <c r="G41" s="174"/>
      <c r="H41" s="174"/>
      <c r="I41" s="174"/>
      <c r="J41" s="174"/>
      <c r="K41" s="174"/>
      <c r="L41" s="174"/>
      <c r="M41" s="174"/>
      <c r="N41" s="174"/>
      <c r="O41" s="174"/>
      <c r="P41" s="174"/>
    </row>
    <row r="42" spans="2:16" s="229" customFormat="1" ht="12" customHeight="1">
      <c r="B42" s="176" t="s">
        <v>358</v>
      </c>
      <c r="C42" s="192" t="s">
        <v>359</v>
      </c>
      <c r="D42" s="193"/>
      <c r="E42" s="179">
        <v>0</v>
      </c>
      <c r="F42" s="201" t="s">
        <v>360</v>
      </c>
      <c r="G42" s="175" t="s">
        <v>361</v>
      </c>
      <c r="H42" s="174"/>
      <c r="I42" s="174"/>
      <c r="J42" s="174"/>
      <c r="K42" s="174"/>
      <c r="L42" s="174"/>
      <c r="M42" s="174"/>
      <c r="N42" s="174"/>
      <c r="O42" s="174"/>
      <c r="P42" s="174"/>
    </row>
    <row r="43" spans="2:16" s="229" customFormat="1" ht="12" customHeight="1">
      <c r="B43" s="181" t="s">
        <v>358</v>
      </c>
      <c r="C43" s="196" t="s">
        <v>362</v>
      </c>
      <c r="D43" s="197"/>
      <c r="E43" s="184">
        <f>1-E42-E44</f>
        <v>0.90100000000000002</v>
      </c>
      <c r="F43" s="202" t="s">
        <v>360</v>
      </c>
      <c r="G43" s="174"/>
      <c r="H43" s="174"/>
      <c r="I43" s="174"/>
      <c r="J43" s="174"/>
      <c r="K43" s="174"/>
      <c r="L43" s="174"/>
      <c r="M43" s="174"/>
      <c r="N43" s="174"/>
      <c r="O43" s="174"/>
      <c r="P43" s="174"/>
    </row>
    <row r="44" spans="2:16" s="229" customFormat="1" ht="12" customHeight="1">
      <c r="B44" s="187" t="s">
        <v>358</v>
      </c>
      <c r="C44" s="203" t="s">
        <v>363</v>
      </c>
      <c r="D44" s="204"/>
      <c r="E44" s="234">
        <f>E11</f>
        <v>9.9000000000000005E-2</v>
      </c>
      <c r="F44" s="206" t="s">
        <v>360</v>
      </c>
      <c r="G44" s="174"/>
      <c r="H44" s="174"/>
      <c r="I44" s="174"/>
      <c r="J44" s="174"/>
      <c r="K44" s="174"/>
      <c r="L44" s="174"/>
      <c r="M44" s="174"/>
      <c r="N44" s="174"/>
      <c r="O44" s="174"/>
      <c r="P44" s="174"/>
    </row>
    <row r="45" spans="2:16" s="229" customFormat="1" ht="12" customHeight="1">
      <c r="B45" s="176" t="s">
        <v>358</v>
      </c>
      <c r="C45" s="177" t="s">
        <v>364</v>
      </c>
      <c r="D45" s="235"/>
      <c r="E45" s="236">
        <v>371</v>
      </c>
      <c r="F45" s="201" t="s">
        <v>365</v>
      </c>
      <c r="G45" s="174"/>
      <c r="H45" s="174"/>
      <c r="I45" s="174"/>
      <c r="J45" s="174"/>
      <c r="K45" s="174"/>
      <c r="L45" s="174"/>
      <c r="M45" s="174"/>
      <c r="N45" s="174"/>
      <c r="O45" s="174"/>
      <c r="P45" s="174"/>
    </row>
    <row r="46" spans="2:16" s="229" customFormat="1" ht="12" customHeight="1">
      <c r="B46" s="181" t="s">
        <v>358</v>
      </c>
      <c r="C46" s="182" t="s">
        <v>366</v>
      </c>
      <c r="D46" s="237"/>
      <c r="E46" s="238">
        <v>41.2</v>
      </c>
      <c r="F46" s="239" t="s">
        <v>365</v>
      </c>
      <c r="G46" s="175" t="s">
        <v>367</v>
      </c>
      <c r="H46" s="174"/>
      <c r="I46" s="174"/>
      <c r="J46" s="174"/>
      <c r="K46" s="174"/>
      <c r="L46" s="174"/>
      <c r="M46" s="174"/>
      <c r="N46" s="174"/>
      <c r="O46" s="174"/>
      <c r="P46" s="174"/>
    </row>
    <row r="47" spans="2:16" s="229" customFormat="1" ht="12" customHeight="1">
      <c r="B47" s="187" t="s">
        <v>358</v>
      </c>
      <c r="C47" s="188" t="s">
        <v>368</v>
      </c>
      <c r="D47" s="240"/>
      <c r="E47" s="241">
        <v>9</v>
      </c>
      <c r="F47" s="242" t="s">
        <v>365</v>
      </c>
      <c r="G47" s="174"/>
      <c r="H47" s="174"/>
      <c r="I47" s="174"/>
      <c r="J47" s="174"/>
      <c r="K47" s="174"/>
      <c r="L47" s="174"/>
      <c r="M47" s="174"/>
      <c r="N47" s="174"/>
      <c r="O47" s="174"/>
      <c r="P47" s="174"/>
    </row>
    <row r="48" spans="2:16" s="229" customFormat="1" ht="12" customHeight="1">
      <c r="B48" s="176" t="s">
        <v>358</v>
      </c>
      <c r="C48" s="177" t="s">
        <v>369</v>
      </c>
      <c r="D48" s="235"/>
      <c r="E48" s="243">
        <f>E29</f>
        <v>371</v>
      </c>
      <c r="F48" s="201" t="s">
        <v>370</v>
      </c>
      <c r="G48" s="174"/>
      <c r="H48" s="174"/>
      <c r="I48" s="174"/>
      <c r="J48" s="174"/>
      <c r="K48" s="174"/>
      <c r="L48" s="174"/>
      <c r="M48" s="174"/>
      <c r="N48" s="174"/>
      <c r="O48" s="174"/>
      <c r="P48" s="174"/>
    </row>
    <row r="49" spans="2:16" s="229" customFormat="1" ht="12" customHeight="1">
      <c r="B49" s="181" t="s">
        <v>358</v>
      </c>
      <c r="C49" s="182" t="s">
        <v>371</v>
      </c>
      <c r="D49" s="237"/>
      <c r="E49" s="244">
        <f>E30</f>
        <v>41.222222222222221</v>
      </c>
      <c r="F49" s="239" t="s">
        <v>370</v>
      </c>
      <c r="G49" s="174"/>
      <c r="H49" s="174"/>
      <c r="I49" s="174"/>
      <c r="J49" s="174"/>
      <c r="K49" s="174"/>
      <c r="L49" s="174"/>
      <c r="M49" s="174"/>
      <c r="N49" s="174"/>
      <c r="O49" s="174"/>
      <c r="P49" s="174"/>
    </row>
    <row r="50" spans="2:16" s="229" customFormat="1" ht="12" customHeight="1">
      <c r="B50" s="181" t="s">
        <v>358</v>
      </c>
      <c r="C50" s="182" t="s">
        <v>372</v>
      </c>
      <c r="D50" s="210"/>
      <c r="E50" s="244">
        <f>E31</f>
        <v>9</v>
      </c>
      <c r="F50" s="202" t="s">
        <v>370</v>
      </c>
      <c r="G50" s="174"/>
      <c r="H50" s="174"/>
      <c r="I50" s="174"/>
      <c r="J50" s="174"/>
      <c r="K50" s="174"/>
      <c r="L50" s="174"/>
      <c r="M50" s="174"/>
      <c r="N50" s="174"/>
      <c r="O50" s="174"/>
      <c r="P50" s="174"/>
    </row>
    <row r="51" spans="2:16" s="229" customFormat="1" ht="12" customHeight="1">
      <c r="B51" s="181" t="s">
        <v>358</v>
      </c>
      <c r="C51" s="182" t="s">
        <v>373</v>
      </c>
      <c r="D51" s="237"/>
      <c r="E51" s="245">
        <v>20</v>
      </c>
      <c r="F51" s="239" t="s">
        <v>370</v>
      </c>
      <c r="G51" s="174"/>
      <c r="H51" s="174"/>
      <c r="I51" s="174"/>
      <c r="J51" s="174"/>
      <c r="K51" s="174"/>
      <c r="L51" s="174"/>
      <c r="M51" s="174"/>
      <c r="N51" s="174"/>
      <c r="O51" s="174"/>
      <c r="P51" s="174"/>
    </row>
    <row r="52" spans="2:16" s="229" customFormat="1" ht="12" customHeight="1">
      <c r="B52" s="181" t="s">
        <v>358</v>
      </c>
      <c r="C52" s="182" t="s">
        <v>374</v>
      </c>
      <c r="D52" s="237"/>
      <c r="E52" s="245">
        <v>27</v>
      </c>
      <c r="F52" s="239" t="s">
        <v>370</v>
      </c>
      <c r="G52" s="174"/>
      <c r="H52" s="174"/>
      <c r="I52" s="174"/>
      <c r="J52" s="174"/>
      <c r="K52" s="174"/>
      <c r="L52" s="174"/>
      <c r="M52" s="174"/>
      <c r="N52" s="174"/>
      <c r="O52" s="174"/>
      <c r="P52" s="174"/>
    </row>
    <row r="53" spans="2:16" s="229" customFormat="1" ht="12" customHeight="1">
      <c r="B53" s="181" t="s">
        <v>358</v>
      </c>
      <c r="C53" s="182" t="s">
        <v>375</v>
      </c>
      <c r="D53" s="210"/>
      <c r="E53" s="245">
        <v>13</v>
      </c>
      <c r="F53" s="202" t="s">
        <v>370</v>
      </c>
      <c r="G53" s="174"/>
      <c r="H53" s="174"/>
      <c r="I53" s="174"/>
      <c r="J53" s="174"/>
      <c r="K53" s="174"/>
      <c r="L53" s="174"/>
      <c r="M53" s="174"/>
      <c r="N53" s="174"/>
      <c r="O53" s="174"/>
      <c r="P53" s="174"/>
    </row>
    <row r="54" spans="2:16" s="229" customFormat="1" ht="12" customHeight="1">
      <c r="B54" s="176" t="s">
        <v>358</v>
      </c>
      <c r="C54" s="192" t="s">
        <v>376</v>
      </c>
      <c r="D54" s="193"/>
      <c r="E54" s="246">
        <v>0</v>
      </c>
      <c r="F54" s="201" t="s">
        <v>377</v>
      </c>
      <c r="G54" s="174"/>
      <c r="H54" s="174"/>
      <c r="I54" s="174"/>
      <c r="J54" s="174"/>
      <c r="K54" s="174"/>
      <c r="L54" s="174"/>
      <c r="M54" s="174"/>
      <c r="N54" s="174"/>
      <c r="O54" s="174"/>
      <c r="P54" s="174"/>
    </row>
    <row r="55" spans="2:16" s="229" customFormat="1" ht="12" customHeight="1">
      <c r="B55" s="181" t="s">
        <v>358</v>
      </c>
      <c r="C55" s="196" t="s">
        <v>378</v>
      </c>
      <c r="D55" s="197"/>
      <c r="E55" s="186">
        <v>0</v>
      </c>
      <c r="F55" s="202" t="s">
        <v>379</v>
      </c>
      <c r="G55" s="174"/>
      <c r="H55" s="174"/>
      <c r="I55" s="174"/>
      <c r="J55" s="174"/>
      <c r="K55" s="174"/>
      <c r="L55" s="174"/>
      <c r="M55" s="174"/>
      <c r="N55" s="174"/>
      <c r="O55" s="174"/>
      <c r="P55" s="174"/>
    </row>
    <row r="56" spans="2:16" s="229" customFormat="1" ht="12" customHeight="1">
      <c r="B56" s="176" t="s">
        <v>358</v>
      </c>
      <c r="C56" s="177" t="s">
        <v>380</v>
      </c>
      <c r="D56" s="235"/>
      <c r="E56" s="179">
        <v>0.3</v>
      </c>
      <c r="F56" s="201" t="s">
        <v>379</v>
      </c>
      <c r="G56" s="174"/>
      <c r="H56" s="174"/>
      <c r="I56" s="174"/>
      <c r="J56" s="174"/>
      <c r="K56" s="174"/>
      <c r="L56" s="174"/>
      <c r="M56" s="174"/>
      <c r="N56" s="174"/>
      <c r="O56" s="174"/>
      <c r="P56" s="174"/>
    </row>
    <row r="57" spans="2:16" s="229" customFormat="1" ht="12" customHeight="1">
      <c r="B57" s="247" t="s">
        <v>358</v>
      </c>
      <c r="C57" s="248" t="s">
        <v>204</v>
      </c>
      <c r="D57" s="249"/>
      <c r="E57" s="250">
        <f>1-SUM(E58:E68)</f>
        <v>0.10962000000000005</v>
      </c>
      <c r="F57" s="251" t="s">
        <v>381</v>
      </c>
      <c r="G57" s="252"/>
      <c r="H57" s="174"/>
      <c r="I57" s="174"/>
      <c r="J57" s="174"/>
      <c r="K57" s="174"/>
      <c r="L57" s="174"/>
      <c r="M57" s="174"/>
      <c r="N57" s="174"/>
      <c r="O57" s="174"/>
      <c r="P57" s="174"/>
    </row>
    <row r="58" spans="2:16" s="229" customFormat="1" ht="12" customHeight="1">
      <c r="B58" s="181" t="s">
        <v>358</v>
      </c>
      <c r="C58" s="253" t="s">
        <v>206</v>
      </c>
      <c r="D58" s="210"/>
      <c r="E58" s="186">
        <f>0.18*E18</f>
        <v>6.9839999999999999E-2</v>
      </c>
      <c r="F58" s="202" t="s">
        <v>381</v>
      </c>
      <c r="G58" s="252"/>
      <c r="H58" s="174"/>
      <c r="I58" s="174"/>
      <c r="J58" s="174"/>
      <c r="K58" s="174"/>
      <c r="L58" s="174"/>
      <c r="M58" s="174"/>
      <c r="N58" s="174"/>
      <c r="O58" s="174"/>
      <c r="P58" s="174"/>
    </row>
    <row r="59" spans="2:16" s="229" customFormat="1" ht="12" customHeight="1">
      <c r="B59" s="181" t="s">
        <v>358</v>
      </c>
      <c r="C59" s="253" t="s">
        <v>208</v>
      </c>
      <c r="D59" s="210"/>
      <c r="E59" s="186">
        <f>0.18*E19</f>
        <v>5.4000000000000001E-4</v>
      </c>
      <c r="F59" s="202" t="s">
        <v>381</v>
      </c>
      <c r="G59" s="252"/>
      <c r="H59" s="174"/>
      <c r="I59" s="174"/>
      <c r="J59" s="174"/>
      <c r="K59" s="174"/>
      <c r="L59" s="174"/>
      <c r="M59" s="174"/>
      <c r="N59" s="174"/>
      <c r="O59" s="174"/>
      <c r="P59" s="174"/>
    </row>
    <row r="60" spans="2:16" s="229" customFormat="1" ht="12" customHeight="1">
      <c r="B60" s="181" t="s">
        <v>358</v>
      </c>
      <c r="C60" s="253" t="s">
        <v>382</v>
      </c>
      <c r="D60" s="210"/>
      <c r="E60" s="186">
        <f>0.18*E20</f>
        <v>0</v>
      </c>
      <c r="F60" s="202" t="s">
        <v>381</v>
      </c>
      <c r="G60" s="252"/>
      <c r="H60" s="174"/>
      <c r="I60" s="174"/>
      <c r="J60" s="174"/>
      <c r="K60" s="174"/>
      <c r="L60" s="174"/>
      <c r="M60" s="174"/>
      <c r="N60" s="174"/>
      <c r="O60" s="174"/>
      <c r="P60" s="174"/>
    </row>
    <row r="61" spans="2:16" s="229" customFormat="1" ht="12" customHeight="1">
      <c r="B61" s="247" t="s">
        <v>358</v>
      </c>
      <c r="C61" s="248" t="s">
        <v>383</v>
      </c>
      <c r="D61" s="249"/>
      <c r="E61" s="254">
        <v>0</v>
      </c>
      <c r="F61" s="251" t="s">
        <v>384</v>
      </c>
      <c r="G61" s="174"/>
      <c r="H61" s="174"/>
      <c r="I61" s="174"/>
      <c r="J61" s="174"/>
      <c r="K61" s="174"/>
      <c r="L61" s="174"/>
      <c r="M61" s="174"/>
      <c r="N61" s="174"/>
      <c r="O61" s="174"/>
      <c r="P61" s="174"/>
    </row>
    <row r="62" spans="2:16" s="229" customFormat="1" ht="12" customHeight="1">
      <c r="B62" s="181" t="s">
        <v>358</v>
      </c>
      <c r="C62" s="253" t="s">
        <v>385</v>
      </c>
      <c r="D62" s="210"/>
      <c r="E62" s="186">
        <v>0</v>
      </c>
      <c r="F62" s="202" t="s">
        <v>384</v>
      </c>
      <c r="G62" s="174"/>
      <c r="H62" s="174"/>
      <c r="I62" s="174"/>
      <c r="J62" s="174"/>
      <c r="K62" s="174"/>
      <c r="L62" s="174"/>
      <c r="M62" s="174"/>
      <c r="N62" s="174"/>
      <c r="O62" s="174"/>
      <c r="P62" s="174"/>
    </row>
    <row r="63" spans="2:16" s="229" customFormat="1" ht="12" customHeight="1">
      <c r="B63" s="181" t="s">
        <v>358</v>
      </c>
      <c r="C63" s="253" t="s">
        <v>386</v>
      </c>
      <c r="D63" s="210"/>
      <c r="E63" s="186">
        <v>0</v>
      </c>
      <c r="F63" s="202" t="s">
        <v>384</v>
      </c>
      <c r="G63" s="174"/>
      <c r="H63" s="174"/>
      <c r="I63" s="174"/>
      <c r="J63" s="174"/>
      <c r="K63" s="174"/>
      <c r="L63" s="174"/>
      <c r="M63" s="174"/>
      <c r="N63" s="174"/>
      <c r="O63" s="174"/>
      <c r="P63" s="174"/>
    </row>
    <row r="64" spans="2:16" s="229" customFormat="1" ht="12" customHeight="1">
      <c r="B64" s="255" t="s">
        <v>358</v>
      </c>
      <c r="C64" s="256" t="s">
        <v>387</v>
      </c>
      <c r="D64" s="257"/>
      <c r="E64" s="258">
        <v>0</v>
      </c>
      <c r="F64" s="259" t="s">
        <v>384</v>
      </c>
      <c r="G64" s="174"/>
      <c r="H64" s="174"/>
      <c r="I64" s="174"/>
      <c r="J64" s="174"/>
      <c r="K64" s="174"/>
      <c r="L64" s="174"/>
      <c r="M64" s="174"/>
      <c r="N64" s="174"/>
      <c r="O64" s="174"/>
      <c r="P64" s="174"/>
    </row>
    <row r="65" spans="2:16" s="229" customFormat="1" ht="12" customHeight="1">
      <c r="B65" s="181" t="s">
        <v>358</v>
      </c>
      <c r="C65" s="253" t="s">
        <v>388</v>
      </c>
      <c r="D65" s="210"/>
      <c r="E65" s="186">
        <f>0.82*E17</f>
        <v>0.49937999999999994</v>
      </c>
      <c r="F65" s="202" t="s">
        <v>389</v>
      </c>
      <c r="G65" s="252"/>
      <c r="H65" s="174"/>
      <c r="I65" s="174"/>
      <c r="J65" s="174"/>
      <c r="K65" s="174"/>
      <c r="L65" s="174"/>
      <c r="M65" s="174"/>
      <c r="N65" s="174"/>
      <c r="O65" s="174"/>
      <c r="P65" s="174"/>
    </row>
    <row r="66" spans="2:16" s="229" customFormat="1" ht="12" customHeight="1">
      <c r="B66" s="181" t="s">
        <v>358</v>
      </c>
      <c r="C66" s="253" t="s">
        <v>390</v>
      </c>
      <c r="D66" s="210"/>
      <c r="E66" s="186">
        <f>0.82*E18</f>
        <v>0.31816</v>
      </c>
      <c r="F66" s="202" t="s">
        <v>389</v>
      </c>
      <c r="G66" s="252"/>
      <c r="H66" s="174"/>
      <c r="I66" s="174"/>
      <c r="J66" s="174"/>
      <c r="K66" s="174"/>
      <c r="L66" s="174"/>
      <c r="M66" s="174"/>
      <c r="N66" s="174"/>
      <c r="O66" s="174"/>
      <c r="P66" s="174"/>
    </row>
    <row r="67" spans="2:16" s="229" customFormat="1" ht="12" customHeight="1">
      <c r="B67" s="181" t="s">
        <v>358</v>
      </c>
      <c r="C67" s="253" t="s">
        <v>391</v>
      </c>
      <c r="D67" s="210"/>
      <c r="E67" s="186">
        <f>0.82*E19</f>
        <v>2.4599999999999999E-3</v>
      </c>
      <c r="F67" s="202" t="s">
        <v>389</v>
      </c>
      <c r="G67" s="252"/>
      <c r="H67" s="174"/>
      <c r="I67" s="174"/>
      <c r="J67" s="174"/>
      <c r="K67" s="174"/>
      <c r="L67" s="174"/>
      <c r="M67" s="174"/>
      <c r="N67" s="174"/>
      <c r="O67" s="174"/>
      <c r="P67" s="174"/>
    </row>
    <row r="68" spans="2:16" s="229" customFormat="1" ht="12" customHeight="1">
      <c r="B68" s="181" t="s">
        <v>358</v>
      </c>
      <c r="C68" s="253" t="s">
        <v>392</v>
      </c>
      <c r="D68" s="210"/>
      <c r="E68" s="186">
        <f>0.82*E20</f>
        <v>0</v>
      </c>
      <c r="F68" s="202" t="s">
        <v>389</v>
      </c>
      <c r="G68" s="252"/>
      <c r="H68" s="174"/>
      <c r="I68" s="174"/>
      <c r="J68" s="174"/>
      <c r="K68" s="174"/>
      <c r="L68" s="174"/>
      <c r="M68" s="174"/>
      <c r="N68" s="174"/>
      <c r="O68" s="174"/>
      <c r="P68" s="174"/>
    </row>
    <row r="69" spans="2:16" s="229" customFormat="1" ht="12" customHeight="1">
      <c r="B69" s="176" t="s">
        <v>358</v>
      </c>
      <c r="C69" s="260" t="str">
        <f>"UIS TO Volume Share, " &amp;YEAR(start_date)</f>
        <v>UIS TO Volume Share, 2026</v>
      </c>
      <c r="D69" s="235"/>
      <c r="E69" s="179">
        <v>0</v>
      </c>
      <c r="F69" s="201" t="s">
        <v>393</v>
      </c>
      <c r="G69" s="252"/>
      <c r="H69" s="174"/>
      <c r="I69" s="174"/>
      <c r="J69" s="174"/>
      <c r="K69" s="174"/>
      <c r="L69" s="174"/>
      <c r="M69" s="174"/>
      <c r="N69" s="174"/>
      <c r="O69" s="174"/>
      <c r="P69" s="174"/>
    </row>
    <row r="70" spans="2:16" s="229" customFormat="1" ht="12" customHeight="1">
      <c r="B70" s="181" t="s">
        <v>358</v>
      </c>
      <c r="C70" s="253" t="str">
        <f>"UIS TO Volume Share, " &amp;YEAR(start_date)+1</f>
        <v>UIS TO Volume Share, 2027</v>
      </c>
      <c r="D70" s="210"/>
      <c r="E70" s="186">
        <f>SUM(E60:E67)*(13-5)/12</f>
        <v>0.54666666666666663</v>
      </c>
      <c r="F70" s="202" t="s">
        <v>393</v>
      </c>
      <c r="G70" s="252"/>
      <c r="H70" s="174"/>
      <c r="I70" s="174"/>
      <c r="J70" s="174"/>
      <c r="K70" s="174"/>
      <c r="L70" s="174"/>
      <c r="M70" s="174"/>
      <c r="N70" s="174"/>
      <c r="O70" s="174"/>
      <c r="P70" s="174"/>
    </row>
    <row r="71" spans="2:16" s="229" customFormat="1" ht="12" customHeight="1">
      <c r="B71" s="181" t="s">
        <v>358</v>
      </c>
      <c r="C71" s="253" t="str">
        <f>"UIS TO Volume Share, " &amp;YEAR(start_date)+2</f>
        <v>UIS TO Volume Share, 2028</v>
      </c>
      <c r="D71" s="210"/>
      <c r="E71" s="186">
        <f>SUM($E$61:$E$68)</f>
        <v>0.82</v>
      </c>
      <c r="F71" s="202" t="s">
        <v>393</v>
      </c>
      <c r="G71" s="252"/>
      <c r="H71" s="174"/>
      <c r="I71" s="174"/>
      <c r="J71" s="174"/>
      <c r="K71" s="174"/>
      <c r="L71" s="174"/>
      <c r="M71" s="174"/>
      <c r="N71" s="174"/>
      <c r="O71" s="174"/>
      <c r="P71" s="174"/>
    </row>
    <row r="72" spans="2:16" s="229" customFormat="1" ht="12" customHeight="1">
      <c r="B72" s="181" t="s">
        <v>358</v>
      </c>
      <c r="C72" s="253" t="str">
        <f>"UIS TO Volume Share, " &amp;YEAR(start_date)+3</f>
        <v>UIS TO Volume Share, 2029</v>
      </c>
      <c r="D72" s="210"/>
      <c r="E72" s="186">
        <f t="shared" ref="E72:E74" si="0">SUM($E$61:$E$68)</f>
        <v>0.82</v>
      </c>
      <c r="F72" s="202" t="s">
        <v>393</v>
      </c>
      <c r="G72" s="252"/>
      <c r="H72" s="174"/>
      <c r="I72" s="174"/>
      <c r="J72" s="174"/>
      <c r="K72" s="174"/>
      <c r="L72" s="174"/>
      <c r="M72" s="174"/>
      <c r="N72" s="174"/>
      <c r="O72" s="174"/>
      <c r="P72" s="174"/>
    </row>
    <row r="73" spans="2:16" s="229" customFormat="1" ht="12" customHeight="1">
      <c r="B73" s="181" t="s">
        <v>358</v>
      </c>
      <c r="C73" s="253" t="str">
        <f>"UIS TO Volume Share, " &amp;YEAR(start_date)+4</f>
        <v>UIS TO Volume Share, 2030</v>
      </c>
      <c r="D73" s="210"/>
      <c r="E73" s="186">
        <f t="shared" si="0"/>
        <v>0.82</v>
      </c>
      <c r="F73" s="202" t="s">
        <v>393</v>
      </c>
      <c r="G73" s="252"/>
      <c r="H73" s="174"/>
      <c r="I73" s="174"/>
      <c r="J73" s="174"/>
      <c r="K73" s="174"/>
      <c r="L73" s="174"/>
      <c r="M73" s="174"/>
      <c r="N73" s="174"/>
      <c r="O73" s="174"/>
      <c r="P73" s="174"/>
    </row>
    <row r="74" spans="2:16" s="229" customFormat="1" ht="12" customHeight="1">
      <c r="B74" s="187" t="s">
        <v>358</v>
      </c>
      <c r="C74" s="261" t="str">
        <f>"UIS TO Volume Share, " &amp;YEAR(start_date)+5</f>
        <v>UIS TO Volume Share, 2031</v>
      </c>
      <c r="D74" s="240"/>
      <c r="E74" s="205">
        <f t="shared" si="0"/>
        <v>0.82</v>
      </c>
      <c r="F74" s="206" t="s">
        <v>393</v>
      </c>
      <c r="G74" s="252"/>
      <c r="H74" s="174"/>
      <c r="I74" s="174"/>
      <c r="J74" s="174"/>
      <c r="K74" s="174"/>
      <c r="L74" s="174"/>
      <c r="M74" s="174"/>
      <c r="N74" s="174"/>
      <c r="O74" s="174"/>
      <c r="P74" s="174"/>
    </row>
    <row r="75" spans="2:16" s="229" customFormat="1" ht="12" customHeight="1">
      <c r="B75" s="176" t="s">
        <v>358</v>
      </c>
      <c r="C75" s="260" t="s">
        <v>394</v>
      </c>
      <c r="D75" s="193"/>
      <c r="E75" s="179">
        <f>SUM(E61:E64)/SUM(E61:E68)</f>
        <v>0</v>
      </c>
      <c r="F75" s="201" t="s">
        <v>395</v>
      </c>
      <c r="G75" s="252"/>
      <c r="H75" s="174"/>
      <c r="I75" s="174"/>
      <c r="J75" s="174"/>
      <c r="K75" s="174"/>
      <c r="L75" s="174"/>
      <c r="M75" s="174"/>
      <c r="N75" s="174"/>
      <c r="O75" s="174"/>
      <c r="P75" s="174"/>
    </row>
    <row r="76" spans="2:16" s="229" customFormat="1" ht="12" customHeight="1">
      <c r="B76" s="187" t="s">
        <v>358</v>
      </c>
      <c r="C76" s="261" t="s">
        <v>396</v>
      </c>
      <c r="D76" s="204"/>
      <c r="E76" s="190">
        <f>1-E75</f>
        <v>1</v>
      </c>
      <c r="F76" s="206" t="s">
        <v>395</v>
      </c>
      <c r="G76" s="252"/>
      <c r="H76" s="174"/>
      <c r="I76" s="174"/>
      <c r="J76" s="174"/>
      <c r="K76" s="174"/>
      <c r="L76" s="174"/>
      <c r="M76" s="174"/>
      <c r="N76" s="174"/>
      <c r="O76" s="174"/>
      <c r="P76" s="174"/>
    </row>
    <row r="77" spans="2:16" s="229" customFormat="1" ht="12" customHeight="1">
      <c r="B77" s="181" t="s">
        <v>358</v>
      </c>
      <c r="C77" s="253" t="s">
        <v>397</v>
      </c>
      <c r="D77" s="210"/>
      <c r="E77" s="184">
        <f>E57+E61+E65</f>
        <v>0.60899999999999999</v>
      </c>
      <c r="F77" s="202" t="s">
        <v>398</v>
      </c>
      <c r="G77" s="174"/>
      <c r="H77" s="174"/>
      <c r="I77" s="174"/>
      <c r="J77" s="174"/>
      <c r="K77" s="174"/>
      <c r="L77" s="174"/>
      <c r="M77" s="174"/>
      <c r="N77" s="174"/>
      <c r="O77" s="174"/>
      <c r="P77" s="174"/>
    </row>
    <row r="78" spans="2:16" s="229" customFormat="1" ht="12" customHeight="1">
      <c r="B78" s="181" t="s">
        <v>358</v>
      </c>
      <c r="C78" s="253" t="s">
        <v>399</v>
      </c>
      <c r="D78" s="210"/>
      <c r="E78" s="184">
        <f t="shared" ref="E78:E80" si="1">E58+E62+E66</f>
        <v>0.38800000000000001</v>
      </c>
      <c r="F78" s="202" t="s">
        <v>398</v>
      </c>
      <c r="G78" s="174"/>
      <c r="H78" s="174"/>
      <c r="I78" s="174"/>
      <c r="J78" s="174"/>
      <c r="K78" s="174"/>
      <c r="L78" s="174"/>
      <c r="M78" s="174"/>
      <c r="N78" s="174"/>
      <c r="O78" s="174"/>
      <c r="P78" s="174"/>
    </row>
    <row r="79" spans="2:16" s="229" customFormat="1" ht="12" customHeight="1">
      <c r="B79" s="181" t="s">
        <v>358</v>
      </c>
      <c r="C79" s="253" t="s">
        <v>400</v>
      </c>
      <c r="D79" s="210"/>
      <c r="E79" s="184">
        <f t="shared" si="1"/>
        <v>3.0000000000000001E-3</v>
      </c>
      <c r="F79" s="202" t="s">
        <v>398</v>
      </c>
      <c r="G79" s="174"/>
      <c r="H79" s="174"/>
      <c r="I79" s="174"/>
      <c r="J79" s="174"/>
      <c r="K79" s="174"/>
      <c r="L79" s="174"/>
      <c r="M79" s="174"/>
      <c r="N79" s="174"/>
      <c r="O79" s="174"/>
      <c r="P79" s="174"/>
    </row>
    <row r="80" spans="2:16" s="229" customFormat="1" ht="12" customHeight="1">
      <c r="B80" s="187" t="s">
        <v>358</v>
      </c>
      <c r="C80" s="261" t="s">
        <v>401</v>
      </c>
      <c r="D80" s="240"/>
      <c r="E80" s="190">
        <f t="shared" si="1"/>
        <v>0</v>
      </c>
      <c r="F80" s="206" t="s">
        <v>398</v>
      </c>
      <c r="G80" s="174"/>
      <c r="H80" s="174"/>
      <c r="I80" s="174"/>
      <c r="J80" s="174"/>
      <c r="K80" s="174"/>
      <c r="L80" s="174"/>
      <c r="M80" s="174"/>
      <c r="N80" s="174"/>
      <c r="O80" s="174"/>
      <c r="P80" s="174"/>
    </row>
    <row r="81" spans="2:16" s="229" customFormat="1" ht="12" customHeight="1">
      <c r="B81" s="181" t="s">
        <v>358</v>
      </c>
      <c r="C81" s="253" t="s">
        <v>402</v>
      </c>
      <c r="D81" s="210"/>
      <c r="E81" s="184">
        <f>SUM(E61:E68)</f>
        <v>0.82</v>
      </c>
      <c r="F81" s="202" t="s">
        <v>379</v>
      </c>
      <c r="G81" s="174"/>
      <c r="H81" s="174"/>
      <c r="I81" s="174"/>
      <c r="J81" s="174"/>
      <c r="K81" s="174"/>
      <c r="L81" s="174"/>
      <c r="M81" s="174"/>
      <c r="N81" s="174"/>
      <c r="O81" s="174"/>
      <c r="P81" s="174"/>
    </row>
    <row r="82" spans="2:16" ht="12" customHeight="1">
      <c r="B82" s="176" t="s">
        <v>358</v>
      </c>
      <c r="C82" s="192" t="s">
        <v>403</v>
      </c>
      <c r="D82" s="193"/>
      <c r="E82" s="179">
        <v>5.0000000000000001E-3</v>
      </c>
      <c r="F82" s="201" t="s">
        <v>379</v>
      </c>
    </row>
    <row r="83" spans="2:16" ht="12" customHeight="1">
      <c r="B83" s="247" t="s">
        <v>358</v>
      </c>
      <c r="C83" s="248" t="s">
        <v>404</v>
      </c>
      <c r="D83" s="262"/>
      <c r="E83" s="254">
        <v>0.5</v>
      </c>
      <c r="F83" s="251" t="s">
        <v>405</v>
      </c>
    </row>
    <row r="84" spans="2:16" ht="12" customHeight="1">
      <c r="B84" s="255" t="s">
        <v>358</v>
      </c>
      <c r="C84" s="256" t="s">
        <v>406</v>
      </c>
      <c r="D84" s="263"/>
      <c r="E84" s="264">
        <f>1-E83</f>
        <v>0.5</v>
      </c>
      <c r="F84" s="259" t="s">
        <v>405</v>
      </c>
    </row>
    <row r="85" spans="2:16" ht="12" customHeight="1">
      <c r="B85" s="181" t="s">
        <v>358</v>
      </c>
      <c r="C85" s="196" t="s">
        <v>407</v>
      </c>
      <c r="D85" s="197"/>
      <c r="E85" s="184">
        <f>1-E82</f>
        <v>0.995</v>
      </c>
      <c r="F85" s="202" t="s">
        <v>379</v>
      </c>
    </row>
    <row r="86" spans="2:16" ht="12" customHeight="1">
      <c r="B86" s="247" t="s">
        <v>358</v>
      </c>
      <c r="C86" s="248" t="s">
        <v>408</v>
      </c>
      <c r="D86" s="262"/>
      <c r="E86" s="265">
        <v>0.2</v>
      </c>
      <c r="F86" s="266" t="s">
        <v>409</v>
      </c>
    </row>
    <row r="87" spans="2:16" ht="12" customHeight="1">
      <c r="B87" s="255" t="s">
        <v>358</v>
      </c>
      <c r="C87" s="256" t="s">
        <v>410</v>
      </c>
      <c r="D87" s="263"/>
      <c r="E87" s="267">
        <f>1-SUM(E86:E86)</f>
        <v>0.8</v>
      </c>
      <c r="F87" s="268" t="s">
        <v>409</v>
      </c>
    </row>
    <row r="88" spans="2:16" ht="12" customHeight="1">
      <c r="B88" s="176" t="s">
        <v>358</v>
      </c>
      <c r="C88" s="192" t="s">
        <v>411</v>
      </c>
      <c r="D88" s="193"/>
      <c r="E88" s="194">
        <v>0.65</v>
      </c>
      <c r="F88" s="195" t="s">
        <v>379</v>
      </c>
    </row>
    <row r="89" spans="2:16" ht="12" customHeight="1">
      <c r="B89" s="187" t="s">
        <v>358</v>
      </c>
      <c r="C89" s="203" t="s">
        <v>412</v>
      </c>
      <c r="D89" s="204"/>
      <c r="E89" s="269">
        <f>1-E88</f>
        <v>0.35</v>
      </c>
      <c r="F89" s="208" t="s">
        <v>379</v>
      </c>
    </row>
    <row r="90" spans="2:16" ht="12" customHeight="1">
      <c r="B90" s="181" t="s">
        <v>358</v>
      </c>
      <c r="C90" s="196" t="s">
        <v>413</v>
      </c>
      <c r="D90" s="197"/>
      <c r="E90" s="184">
        <f>1-E95</f>
        <v>0.9</v>
      </c>
      <c r="F90" s="202" t="s">
        <v>379</v>
      </c>
    </row>
    <row r="91" spans="2:16" ht="12" customHeight="1">
      <c r="B91" s="176" t="s">
        <v>358</v>
      </c>
      <c r="C91" s="260" t="s">
        <v>414</v>
      </c>
      <c r="D91" s="193"/>
      <c r="E91" s="270">
        <f>E90-E96</f>
        <v>0.85</v>
      </c>
      <c r="F91" s="201" t="s">
        <v>379</v>
      </c>
    </row>
    <row r="92" spans="2:16" ht="12" customHeight="1">
      <c r="B92" s="181" t="s">
        <v>358</v>
      </c>
      <c r="C92" s="271" t="s">
        <v>415</v>
      </c>
      <c r="D92" s="197"/>
      <c r="E92" s="272">
        <f>E91*E88*E97</f>
        <v>0.1105</v>
      </c>
      <c r="F92" s="202" t="s">
        <v>379</v>
      </c>
    </row>
    <row r="93" spans="2:16" ht="12" customHeight="1">
      <c r="B93" s="181" t="s">
        <v>358</v>
      </c>
      <c r="C93" s="271" t="s">
        <v>416</v>
      </c>
      <c r="D93" s="197"/>
      <c r="E93" s="272">
        <f>E91*E88*E98</f>
        <v>0.442</v>
      </c>
      <c r="F93" s="202" t="s">
        <v>379</v>
      </c>
    </row>
    <row r="94" spans="2:16" ht="12" customHeight="1">
      <c r="B94" s="181" t="s">
        <v>358</v>
      </c>
      <c r="C94" s="271" t="s">
        <v>417</v>
      </c>
      <c r="D94" s="197"/>
      <c r="E94" s="272">
        <f>E91*E89</f>
        <v>0.29749999999999999</v>
      </c>
      <c r="F94" s="202" t="s">
        <v>379</v>
      </c>
    </row>
    <row r="95" spans="2:16" ht="12" customHeight="1">
      <c r="B95" s="181" t="s">
        <v>358</v>
      </c>
      <c r="C95" s="253" t="s">
        <v>418</v>
      </c>
      <c r="D95" s="197"/>
      <c r="E95" s="198">
        <v>0.1</v>
      </c>
      <c r="F95" s="202" t="s">
        <v>379</v>
      </c>
    </row>
    <row r="96" spans="2:16" ht="12" customHeight="1">
      <c r="B96" s="181" t="s">
        <v>358</v>
      </c>
      <c r="C96" s="253" t="s">
        <v>419</v>
      </c>
      <c r="D96" s="197"/>
      <c r="E96" s="273">
        <f>E103</f>
        <v>5.0000000000000044E-2</v>
      </c>
      <c r="F96" s="202" t="s">
        <v>379</v>
      </c>
    </row>
    <row r="97" spans="2:6" ht="12" customHeight="1">
      <c r="B97" s="176" t="s">
        <v>358</v>
      </c>
      <c r="C97" s="260" t="s">
        <v>420</v>
      </c>
      <c r="D97" s="193"/>
      <c r="E97" s="194">
        <v>0.2</v>
      </c>
      <c r="F97" s="201" t="s">
        <v>379</v>
      </c>
    </row>
    <row r="98" spans="2:6" ht="12" customHeight="1">
      <c r="B98" s="187" t="s">
        <v>358</v>
      </c>
      <c r="C98" s="261" t="s">
        <v>421</v>
      </c>
      <c r="D98" s="204"/>
      <c r="E98" s="269">
        <f>1-E97</f>
        <v>0.8</v>
      </c>
      <c r="F98" s="206" t="s">
        <v>379</v>
      </c>
    </row>
    <row r="99" spans="2:6" ht="12" customHeight="1">
      <c r="B99" s="176" t="s">
        <v>358</v>
      </c>
      <c r="C99" s="177" t="s">
        <v>422</v>
      </c>
      <c r="D99" s="274"/>
      <c r="E99" s="275">
        <v>0</v>
      </c>
      <c r="F99" s="276" t="s">
        <v>379</v>
      </c>
    </row>
    <row r="100" spans="2:6" ht="12" customHeight="1">
      <c r="B100" s="187" t="s">
        <v>358</v>
      </c>
      <c r="C100" s="188" t="s">
        <v>423</v>
      </c>
      <c r="D100" s="277"/>
      <c r="E100" s="190">
        <f>1-E99</f>
        <v>1</v>
      </c>
      <c r="F100" s="278" t="s">
        <v>379</v>
      </c>
    </row>
    <row r="101" spans="2:6" ht="12" customHeight="1">
      <c r="B101" s="176" t="s">
        <v>358</v>
      </c>
      <c r="C101" s="177" t="s">
        <v>424</v>
      </c>
      <c r="D101" s="279"/>
      <c r="E101" s="280">
        <v>45</v>
      </c>
      <c r="F101" s="276" t="s">
        <v>425</v>
      </c>
    </row>
    <row r="102" spans="2:6" ht="12" customHeight="1">
      <c r="B102" s="176" t="s">
        <v>358</v>
      </c>
      <c r="C102" s="177" t="s">
        <v>426</v>
      </c>
      <c r="D102" s="274" t="s">
        <v>427</v>
      </c>
      <c r="E102" s="281">
        <v>0.95</v>
      </c>
      <c r="F102" s="276"/>
    </row>
    <row r="103" spans="2:6" ht="12" customHeight="1">
      <c r="B103" s="181" t="s">
        <v>358</v>
      </c>
      <c r="C103" s="182"/>
      <c r="D103" s="282" t="s">
        <v>428</v>
      </c>
      <c r="E103" s="190">
        <f>1-E102</f>
        <v>5.0000000000000044E-2</v>
      </c>
      <c r="F103" s="239"/>
    </row>
    <row r="104" spans="2:6" ht="12" customHeight="1">
      <c r="B104" s="218" t="s">
        <v>358</v>
      </c>
      <c r="C104" s="219" t="s">
        <v>429</v>
      </c>
      <c r="D104" s="283"/>
      <c r="E104" s="284">
        <v>0</v>
      </c>
      <c r="F104" s="276"/>
    </row>
    <row r="105" spans="2:6" ht="12" customHeight="1">
      <c r="B105" s="176" t="s">
        <v>358</v>
      </c>
      <c r="C105" s="177" t="s">
        <v>356</v>
      </c>
      <c r="D105" s="274"/>
      <c r="E105" s="179">
        <v>0.05</v>
      </c>
      <c r="F105" s="276"/>
    </row>
    <row r="106" spans="2:6" ht="12" customHeight="1">
      <c r="B106" s="187" t="s">
        <v>358</v>
      </c>
      <c r="C106" s="188" t="s">
        <v>430</v>
      </c>
      <c r="D106" s="277"/>
      <c r="E106" s="190">
        <f>1-E105</f>
        <v>0.95</v>
      </c>
      <c r="F106" s="278"/>
    </row>
    <row r="107" spans="2:6" ht="12" customHeight="1">
      <c r="B107" s="181" t="s">
        <v>358</v>
      </c>
      <c r="C107" s="182" t="s">
        <v>431</v>
      </c>
      <c r="D107" s="210" t="s">
        <v>432</v>
      </c>
      <c r="E107" s="285" t="s">
        <v>433</v>
      </c>
      <c r="F107" s="286" t="s">
        <v>434</v>
      </c>
    </row>
    <row r="108" spans="2:6" ht="12" customHeight="1">
      <c r="B108" s="181" t="s">
        <v>358</v>
      </c>
      <c r="C108" s="182"/>
      <c r="D108" s="210" t="s">
        <v>435</v>
      </c>
      <c r="E108" s="285" t="s">
        <v>433</v>
      </c>
      <c r="F108" s="286" t="s">
        <v>436</v>
      </c>
    </row>
    <row r="109" spans="2:6" ht="12" customHeight="1">
      <c r="B109" s="181" t="s">
        <v>358</v>
      </c>
      <c r="C109" s="182"/>
      <c r="D109" s="210" t="s">
        <v>437</v>
      </c>
      <c r="E109" s="285" t="s">
        <v>433</v>
      </c>
      <c r="F109" s="286" t="s">
        <v>438</v>
      </c>
    </row>
    <row r="110" spans="2:6" ht="12" customHeight="1">
      <c r="B110" s="181" t="s">
        <v>358</v>
      </c>
      <c r="C110" s="182"/>
      <c r="D110" s="210" t="s">
        <v>439</v>
      </c>
      <c r="E110" s="285" t="s">
        <v>433</v>
      </c>
      <c r="F110" s="286"/>
    </row>
    <row r="111" spans="2:6" ht="12" customHeight="1">
      <c r="B111" s="181" t="s">
        <v>358</v>
      </c>
      <c r="C111" s="182"/>
      <c r="D111" s="210" t="s">
        <v>440</v>
      </c>
      <c r="E111" s="285" t="s">
        <v>433</v>
      </c>
      <c r="F111" s="287"/>
    </row>
    <row r="112" spans="2:6" ht="12" customHeight="1">
      <c r="B112" s="181" t="s">
        <v>358</v>
      </c>
      <c r="C112" s="182"/>
      <c r="D112" s="210" t="s">
        <v>441</v>
      </c>
      <c r="E112" s="285" t="s">
        <v>433</v>
      </c>
      <c r="F112" s="287"/>
    </row>
    <row r="113" spans="2:6" ht="12" customHeight="1">
      <c r="B113" s="187" t="s">
        <v>358</v>
      </c>
      <c r="C113" s="188"/>
      <c r="D113" s="240" t="s">
        <v>442</v>
      </c>
      <c r="E113" s="288" t="s">
        <v>433</v>
      </c>
      <c r="F113" s="289"/>
    </row>
    <row r="114" spans="2:6" ht="12" customHeight="1">
      <c r="B114" s="229"/>
      <c r="C114" s="230"/>
      <c r="D114" s="290"/>
      <c r="E114" s="291"/>
      <c r="F114" s="292"/>
    </row>
    <row r="115" spans="2:6" ht="12" customHeight="1">
      <c r="B115" s="293" t="s">
        <v>247</v>
      </c>
      <c r="C115" s="219" t="s">
        <v>443</v>
      </c>
      <c r="D115" s="294"/>
      <c r="E115" s="295">
        <v>0.02</v>
      </c>
      <c r="F115" s="296" t="s">
        <v>360</v>
      </c>
    </row>
    <row r="116" spans="2:6" ht="12" customHeight="1">
      <c r="B116" s="293" t="s">
        <v>247</v>
      </c>
      <c r="C116" s="219" t="s">
        <v>444</v>
      </c>
      <c r="D116" s="294"/>
      <c r="E116" s="295">
        <v>0.01</v>
      </c>
      <c r="F116" s="296" t="s">
        <v>360</v>
      </c>
    </row>
    <row r="117" spans="2:6" ht="12" customHeight="1">
      <c r="B117" s="293" t="s">
        <v>247</v>
      </c>
      <c r="C117" s="219" t="s">
        <v>445</v>
      </c>
      <c r="D117" s="294"/>
      <c r="E117" s="295">
        <v>0.27</v>
      </c>
      <c r="F117" s="296" t="s">
        <v>315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36F9C-A241-4764-8DC5-2EA88FEE31BD}">
  <dimension ref="B2:O98"/>
  <sheetViews>
    <sheetView topLeftCell="A12" workbookViewId="0">
      <selection activeCell="N25" sqref="N25"/>
    </sheetView>
  </sheetViews>
  <sheetFormatPr baseColWidth="10" defaultColWidth="17.5546875" defaultRowHeight="14.4"/>
  <cols>
    <col min="1" max="1" width="3.6640625" style="297" customWidth="1"/>
    <col min="2" max="2" width="20.33203125" style="444" customWidth="1"/>
    <col min="3" max="3" width="45.5546875" style="297" bestFit="1" customWidth="1"/>
    <col min="4" max="4" width="52.44140625" style="297" bestFit="1" customWidth="1"/>
    <col min="5" max="10" width="17.5546875" style="297"/>
    <col min="11" max="11" width="38.5546875" style="297" customWidth="1"/>
    <col min="12" max="12" width="26.5546875" style="297" customWidth="1"/>
    <col min="13" max="16384" width="17.5546875" style="297"/>
  </cols>
  <sheetData>
    <row r="2" spans="2:14">
      <c r="B2" s="297"/>
      <c r="H2" s="298" t="s">
        <v>446</v>
      </c>
      <c r="I2" s="298"/>
      <c r="J2" s="298"/>
      <c r="K2" s="298"/>
    </row>
    <row r="3" spans="2:14" ht="18">
      <c r="B3" s="299" t="s">
        <v>447</v>
      </c>
      <c r="D3" s="300" t="s">
        <v>448</v>
      </c>
      <c r="E3" s="301">
        <f>Year</f>
        <v>2026</v>
      </c>
      <c r="F3" s="302">
        <f>E3+1</f>
        <v>2027</v>
      </c>
      <c r="G3" s="302">
        <f>F3+1</f>
        <v>2028</v>
      </c>
      <c r="H3" s="302">
        <f>G3+1</f>
        <v>2029</v>
      </c>
      <c r="I3" s="302">
        <f>H3+1</f>
        <v>2030</v>
      </c>
      <c r="J3" s="302">
        <f>I3+1</f>
        <v>2031</v>
      </c>
      <c r="K3" s="303" t="s">
        <v>312</v>
      </c>
      <c r="M3" s="304" t="s">
        <v>449</v>
      </c>
      <c r="N3" s="304"/>
    </row>
    <row r="4" spans="2:14">
      <c r="B4" s="305" t="s">
        <v>450</v>
      </c>
      <c r="C4" s="306" t="s">
        <v>451</v>
      </c>
      <c r="D4" s="307" t="s">
        <v>452</v>
      </c>
      <c r="E4" s="308">
        <f>'[1]2. Key engineering assumptions'!K5</f>
        <v>45524.768758277889</v>
      </c>
      <c r="F4" s="308">
        <f>'[1]2. Key engineering assumptions'!L5</f>
        <v>45524.768758277889</v>
      </c>
      <c r="G4" s="308">
        <f>'[1]2. Key engineering assumptions'!M5</f>
        <v>45524.768758277889</v>
      </c>
      <c r="H4" s="308">
        <f>'[1]2. Key engineering assumptions'!N5</f>
        <v>45524.768758277889</v>
      </c>
      <c r="I4" s="308">
        <f>'[1]2. Key engineering assumptions'!O5</f>
        <v>0</v>
      </c>
      <c r="J4" s="309">
        <f>'[1]2. Key engineering assumptions'!P5</f>
        <v>0</v>
      </c>
      <c r="K4" s="310"/>
      <c r="M4" s="311" t="s">
        <v>453</v>
      </c>
      <c r="N4" s="311"/>
    </row>
    <row r="5" spans="2:14">
      <c r="B5" s="312"/>
      <c r="C5" s="313" t="s">
        <v>454</v>
      </c>
      <c r="D5" s="314" t="s">
        <v>455</v>
      </c>
      <c r="E5" s="315">
        <f>'[1]3a. Engineering Layout'!Q25</f>
        <v>49959</v>
      </c>
      <c r="F5" s="316">
        <f>'[1]3a. Engineering Layout'!AD25</f>
        <v>49959</v>
      </c>
      <c r="G5" s="316">
        <f>'[1]3a. Engineering Layout'!AQ25</f>
        <v>49959</v>
      </c>
      <c r="H5" s="316">
        <f>'[1]3a. Engineering Layout'!BD25</f>
        <v>49959</v>
      </c>
      <c r="I5" s="316">
        <f>'[1]3a. Engineering Layout'!BQ25</f>
        <v>0</v>
      </c>
      <c r="J5" s="317">
        <f>'[1]3a. Engineering Layout'!CD25</f>
        <v>0</v>
      </c>
      <c r="K5" s="318"/>
      <c r="M5" s="319" t="s">
        <v>456</v>
      </c>
      <c r="N5" s="319"/>
    </row>
    <row r="6" spans="2:14">
      <c r="B6" s="312"/>
      <c r="C6" s="320" t="s">
        <v>457</v>
      </c>
      <c r="D6" s="314" t="s">
        <v>458</v>
      </c>
      <c r="E6" s="321">
        <f t="shared" ref="E6:J6" si="0">IFERROR(E4/E5, 0)</f>
        <v>0.9112425940927138</v>
      </c>
      <c r="F6" s="321">
        <f t="shared" si="0"/>
        <v>0.9112425940927138</v>
      </c>
      <c r="G6" s="321">
        <f t="shared" si="0"/>
        <v>0.9112425940927138</v>
      </c>
      <c r="H6" s="322">
        <f t="shared" si="0"/>
        <v>0.9112425940927138</v>
      </c>
      <c r="I6" s="322">
        <f t="shared" si="0"/>
        <v>0</v>
      </c>
      <c r="J6" s="323">
        <f t="shared" si="0"/>
        <v>0</v>
      </c>
      <c r="K6" s="324"/>
      <c r="L6" s="325"/>
    </row>
    <row r="7" spans="2:14">
      <c r="B7" s="305" t="s">
        <v>459</v>
      </c>
      <c r="C7" s="306" t="s">
        <v>460</v>
      </c>
      <c r="D7" s="307" t="s">
        <v>144</v>
      </c>
      <c r="E7" s="326">
        <v>0.5</v>
      </c>
      <c r="F7" s="327">
        <v>0.5</v>
      </c>
      <c r="G7" s="327">
        <v>0.5</v>
      </c>
      <c r="H7" s="327">
        <v>0.5</v>
      </c>
      <c r="I7" s="327"/>
      <c r="J7" s="328"/>
      <c r="K7" s="329"/>
      <c r="L7" s="330"/>
      <c r="M7" s="330"/>
      <c r="N7" s="325"/>
    </row>
    <row r="8" spans="2:14">
      <c r="B8" s="312"/>
      <c r="C8" s="313" t="s">
        <v>461</v>
      </c>
      <c r="D8" s="314" t="s">
        <v>144</v>
      </c>
      <c r="E8" s="331">
        <f>1-E7</f>
        <v>0.5</v>
      </c>
      <c r="F8" s="332">
        <f t="shared" ref="F8:J12" si="1">1-F7</f>
        <v>0.5</v>
      </c>
      <c r="G8" s="332">
        <f t="shared" si="1"/>
        <v>0.5</v>
      </c>
      <c r="H8" s="332">
        <f t="shared" si="1"/>
        <v>0.5</v>
      </c>
      <c r="I8" s="332">
        <f t="shared" si="1"/>
        <v>1</v>
      </c>
      <c r="J8" s="333">
        <f t="shared" si="1"/>
        <v>1</v>
      </c>
      <c r="K8" s="334"/>
      <c r="L8" s="335"/>
      <c r="M8" s="335"/>
      <c r="N8" s="336"/>
    </row>
    <row r="9" spans="2:14">
      <c r="B9" s="305" t="s">
        <v>462</v>
      </c>
      <c r="C9" s="306" t="s">
        <v>463</v>
      </c>
      <c r="D9" s="307" t="s">
        <v>144</v>
      </c>
      <c r="E9" s="337">
        <f>'[1]Flow structure'!E5+'[1]Flow structure'!E6</f>
        <v>0.89999999999999991</v>
      </c>
      <c r="F9" s="338">
        <f>E9</f>
        <v>0.89999999999999991</v>
      </c>
      <c r="G9" s="338">
        <f t="shared" ref="G9:J9" si="2">F9</f>
        <v>0.89999999999999991</v>
      </c>
      <c r="H9" s="338">
        <f t="shared" si="2"/>
        <v>0.89999999999999991</v>
      </c>
      <c r="I9" s="338">
        <f t="shared" si="2"/>
        <v>0.89999999999999991</v>
      </c>
      <c r="J9" s="338">
        <f t="shared" si="2"/>
        <v>0.89999999999999991</v>
      </c>
      <c r="K9" s="339"/>
      <c r="L9" s="335"/>
      <c r="M9" s="335"/>
      <c r="N9" s="336"/>
    </row>
    <row r="10" spans="2:14">
      <c r="B10" s="340"/>
      <c r="C10" s="320" t="s">
        <v>464</v>
      </c>
      <c r="D10" s="341" t="s">
        <v>144</v>
      </c>
      <c r="E10" s="331">
        <f>1-E9</f>
        <v>0.10000000000000009</v>
      </c>
      <c r="F10" s="332">
        <f t="shared" si="1"/>
        <v>0.10000000000000009</v>
      </c>
      <c r="G10" s="332">
        <f t="shared" si="1"/>
        <v>0.10000000000000009</v>
      </c>
      <c r="H10" s="332">
        <f t="shared" si="1"/>
        <v>0.10000000000000009</v>
      </c>
      <c r="I10" s="332">
        <f t="shared" si="1"/>
        <v>0.10000000000000009</v>
      </c>
      <c r="J10" s="333">
        <f t="shared" si="1"/>
        <v>0.10000000000000009</v>
      </c>
      <c r="K10" s="339"/>
      <c r="L10" s="335"/>
      <c r="M10" s="335"/>
      <c r="N10" s="336"/>
    </row>
    <row r="11" spans="2:14">
      <c r="B11" s="342" t="s">
        <v>465</v>
      </c>
      <c r="C11" s="343" t="s">
        <v>466</v>
      </c>
      <c r="D11" s="307" t="s">
        <v>144</v>
      </c>
      <c r="E11" s="326">
        <f>'[1]Flow structure'!$E$23</f>
        <v>0.7</v>
      </c>
      <c r="F11" s="327">
        <f>'[1]Flow structure'!$E$23</f>
        <v>0.7</v>
      </c>
      <c r="G11" s="327">
        <f>'[1]Flow structure'!$E$23</f>
        <v>0.7</v>
      </c>
      <c r="H11" s="327">
        <f>'[1]Flow structure'!$E$23</f>
        <v>0.7</v>
      </c>
      <c r="I11" s="327"/>
      <c r="J11" s="328"/>
      <c r="K11" s="329"/>
      <c r="L11" s="344"/>
      <c r="M11" s="336"/>
      <c r="N11" s="336"/>
    </row>
    <row r="12" spans="2:14">
      <c r="B12" s="345"/>
      <c r="C12" s="346" t="s">
        <v>467</v>
      </c>
      <c r="D12" s="314" t="s">
        <v>144</v>
      </c>
      <c r="E12" s="331">
        <f>1-E11</f>
        <v>0.30000000000000004</v>
      </c>
      <c r="F12" s="332">
        <f t="shared" si="1"/>
        <v>0.30000000000000004</v>
      </c>
      <c r="G12" s="332">
        <f t="shared" si="1"/>
        <v>0.30000000000000004</v>
      </c>
      <c r="H12" s="332">
        <f t="shared" si="1"/>
        <v>0.30000000000000004</v>
      </c>
      <c r="I12" s="332">
        <f t="shared" si="1"/>
        <v>1</v>
      </c>
      <c r="J12" s="333">
        <f t="shared" si="1"/>
        <v>1</v>
      </c>
      <c r="K12" s="334"/>
      <c r="L12" s="347"/>
      <c r="M12" s="347"/>
      <c r="N12" s="347"/>
    </row>
    <row r="13" spans="2:14">
      <c r="B13" s="305" t="s">
        <v>313</v>
      </c>
      <c r="C13" s="348" t="s">
        <v>179</v>
      </c>
      <c r="D13" s="306" t="s">
        <v>468</v>
      </c>
      <c r="E13" s="349">
        <f>+F13</f>
        <v>25.012800501459168</v>
      </c>
      <c r="F13" s="350">
        <v>25.012800501459168</v>
      </c>
      <c r="G13" s="350">
        <v>25.061063301108085</v>
      </c>
      <c r="H13" s="350">
        <v>25.063787359952677</v>
      </c>
      <c r="I13" s="350"/>
      <c r="J13" s="351"/>
      <c r="K13" s="352"/>
      <c r="L13"/>
      <c r="M13"/>
      <c r="N13" s="335"/>
    </row>
    <row r="14" spans="2:14">
      <c r="B14" s="312"/>
      <c r="C14" s="353" t="s">
        <v>182</v>
      </c>
      <c r="D14" s="313" t="s">
        <v>469</v>
      </c>
      <c r="E14" s="354">
        <v>139.42307692307693</v>
      </c>
      <c r="F14" s="355">
        <v>139.42307692307691</v>
      </c>
      <c r="G14" s="355">
        <v>139.42307692307693</v>
      </c>
      <c r="H14" s="355">
        <v>139.42307692307693</v>
      </c>
      <c r="I14" s="355"/>
      <c r="J14" s="356"/>
      <c r="K14" s="357"/>
      <c r="L14" s="358"/>
      <c r="M14"/>
      <c r="N14" s="335"/>
    </row>
    <row r="15" spans="2:14">
      <c r="B15" s="312"/>
      <c r="C15" s="359" t="s">
        <v>184</v>
      </c>
      <c r="D15" s="360" t="s">
        <v>469</v>
      </c>
      <c r="E15" s="361">
        <v>168.26923076923077</v>
      </c>
      <c r="F15" s="362">
        <v>168.26923076923077</v>
      </c>
      <c r="G15" s="362">
        <v>168.26923076923077</v>
      </c>
      <c r="H15" s="362">
        <v>168.26923076923077</v>
      </c>
      <c r="I15" s="362"/>
      <c r="J15" s="363"/>
      <c r="K15" s="364"/>
      <c r="L15" s="358"/>
      <c r="M15"/>
      <c r="N15" s="335"/>
    </row>
    <row r="16" spans="2:14">
      <c r="B16" s="312"/>
      <c r="C16" s="365" t="s">
        <v>470</v>
      </c>
      <c r="D16" s="365" t="s">
        <v>469</v>
      </c>
      <c r="E16" s="366">
        <f>IFERROR(1/(IFERROR(('[1]Flow structure'!$E$5+'[1]Flow structure'!$E$6)/('[1]3d. Productivities'!E$13*'[1]Flow structure'!$E$30),)
+IFERROR('[1]Flow structure'!$E$7/('[1]3d. Productivities'!E$14),)
+IFERROR('[1]Flow structure'!$E$8/('[1]3d. Productivities'!E$15),)),)</f>
        <v>654.17969146237135</v>
      </c>
      <c r="F16" s="367">
        <f>IFERROR(1/(IFERROR(('[1]Flow structure'!$E$5+'[1]Flow structure'!$E$6)/('[1]3d. Productivities'!F$13*'[1]Flow structure'!$E$30),)
+IFERROR('[1]Flow structure'!$E$7/('[1]3d. Productivities'!F$14),)
+IFERROR('[1]Flow structure'!$E$8/('[1]3d. Productivities'!F$15),)),)</f>
        <v>654.17969146237135</v>
      </c>
      <c r="G16" s="367">
        <f>IFERROR(1/(IFERROR(('[1]Flow structure'!$E$5+'[1]Flow structure'!$E$6)/('[1]3d. Productivities'!G$13*'[1]Flow structure'!$E$30),)
+IFERROR('[1]Flow structure'!$E$7/('[1]3d. Productivities'!G$14),)
+IFERROR('[1]Flow structure'!$E$8/('[1]3d. Productivities'!G$15),)),)</f>
        <v>654.89985936685548</v>
      </c>
      <c r="H16" s="367">
        <f>IFERROR(1/(IFERROR(('[1]Flow structure'!$E$5+'[1]Flow structure'!$E$6)/('[1]3d. Productivities'!H$13*'[1]Flow structure'!$E$30),)
+IFERROR('[1]Flow structure'!$E$7/('[1]3d. Productivities'!H$14),)
+IFERROR('[1]Flow structure'!$E$8/('[1]3d. Productivities'!H$15),)),)</f>
        <v>654.94047171764566</v>
      </c>
      <c r="I16" s="367">
        <f>IFERROR(1/(IFERROR(('[1]Flow structure'!$E$5+'[1]Flow structure'!$E$6)/('[1]3d. Productivities'!I$13*'[1]Flow structure'!$E$30),)
+IFERROR('[1]Flow structure'!$E$7/('[1]3d. Productivities'!I$14),)
+IFERROR('[1]Flow structure'!$E$8/('[1]3d. Productivities'!I$15),)),)</f>
        <v>0</v>
      </c>
      <c r="J16" s="368">
        <f>IFERROR(1/(IFERROR(('[1]Flow structure'!$E$5+'[1]Flow structure'!$E$6)/('[1]3d. Productivities'!J$13*'[1]Flow structure'!$E$30),)
+IFERROR('[1]Flow structure'!$E$7/('[1]3d. Productivities'!J$14),)
+IFERROR('[1]Flow structure'!$E$8/('[1]3d. Productivities'!J$15),)),)</f>
        <v>0</v>
      </c>
      <c r="K16" s="364"/>
      <c r="L16"/>
      <c r="M16"/>
      <c r="N16" s="335"/>
    </row>
    <row r="17" spans="2:15">
      <c r="B17" s="312"/>
      <c r="C17" s="313" t="s">
        <v>68</v>
      </c>
      <c r="D17" s="313" t="s">
        <v>471</v>
      </c>
      <c r="E17" s="369">
        <v>204.80769230769232</v>
      </c>
      <c r="F17" s="370">
        <v>204.80769230769232</v>
      </c>
      <c r="G17" s="370">
        <v>204.80769230769229</v>
      </c>
      <c r="H17" s="370">
        <v>204.80769230769226</v>
      </c>
      <c r="I17" s="370"/>
      <c r="J17" s="371"/>
      <c r="K17" s="364"/>
      <c r="L17" s="358"/>
      <c r="M17"/>
      <c r="N17" s="335"/>
    </row>
    <row r="18" spans="2:15">
      <c r="B18" s="312"/>
      <c r="C18" s="313" t="s">
        <v>70</v>
      </c>
      <c r="D18" s="313" t="s">
        <v>471</v>
      </c>
      <c r="E18" s="372">
        <v>115.38461538461539</v>
      </c>
      <c r="F18" s="373">
        <v>115.38461538461537</v>
      </c>
      <c r="G18" s="373">
        <v>115.38461538461537</v>
      </c>
      <c r="H18" s="373">
        <v>115.38461538461537</v>
      </c>
      <c r="I18" s="373"/>
      <c r="J18" s="374"/>
      <c r="K18" s="364"/>
      <c r="L18" s="358"/>
      <c r="M18"/>
      <c r="N18" s="335"/>
    </row>
    <row r="19" spans="2:15">
      <c r="B19" s="312"/>
      <c r="C19" s="313" t="s">
        <v>72</v>
      </c>
      <c r="D19" s="313" t="s">
        <v>471</v>
      </c>
      <c r="E19" s="372">
        <v>70.192307692307708</v>
      </c>
      <c r="F19" s="373">
        <v>70.192307692307693</v>
      </c>
      <c r="G19" s="373">
        <v>70.192307692307693</v>
      </c>
      <c r="H19" s="373">
        <v>70.192307692307679</v>
      </c>
      <c r="I19" s="373"/>
      <c r="J19" s="374"/>
      <c r="K19" s="364"/>
      <c r="L19"/>
      <c r="M19"/>
      <c r="N19" s="335"/>
    </row>
    <row r="20" spans="2:15">
      <c r="B20" s="312"/>
      <c r="C20" s="320" t="s">
        <v>472</v>
      </c>
      <c r="D20" s="320" t="s">
        <v>471</v>
      </c>
      <c r="E20" s="375"/>
      <c r="F20" s="376"/>
      <c r="G20" s="376"/>
      <c r="H20" s="376"/>
      <c r="I20" s="376"/>
      <c r="J20" s="377"/>
      <c r="K20" s="378"/>
      <c r="L20"/>
      <c r="M20"/>
      <c r="N20" s="335"/>
    </row>
    <row r="21" spans="2:15">
      <c r="B21" s="312"/>
      <c r="C21" s="313" t="s">
        <v>66</v>
      </c>
      <c r="D21" s="313" t="s">
        <v>473</v>
      </c>
      <c r="E21" s="369">
        <v>70.192307692307679</v>
      </c>
      <c r="F21" s="370">
        <v>70.192307692307679</v>
      </c>
      <c r="G21" s="370">
        <v>70.192307692307693</v>
      </c>
      <c r="H21" s="370">
        <v>70.192307692307679</v>
      </c>
      <c r="I21" s="370"/>
      <c r="J21" s="371"/>
      <c r="K21" s="379"/>
      <c r="L21"/>
      <c r="M21"/>
      <c r="N21" s="335"/>
    </row>
    <row r="22" spans="2:15">
      <c r="B22" s="312"/>
      <c r="C22" s="313" t="s">
        <v>474</v>
      </c>
      <c r="D22" s="313" t="s">
        <v>475</v>
      </c>
      <c r="E22" s="372">
        <v>91.34615384615384</v>
      </c>
      <c r="F22" s="373">
        <v>91.34615384615384</v>
      </c>
      <c r="G22" s="373">
        <v>91.34615384615384</v>
      </c>
      <c r="H22" s="373">
        <v>91.34615384615384</v>
      </c>
      <c r="I22" s="373"/>
      <c r="J22" s="374"/>
      <c r="K22" s="364"/>
      <c r="L22" s="358"/>
      <c r="M22"/>
      <c r="N22" s="335"/>
    </row>
    <row r="23" spans="2:15">
      <c r="B23" s="312"/>
      <c r="C23" s="313" t="s">
        <v>62</v>
      </c>
      <c r="D23" s="313" t="s">
        <v>476</v>
      </c>
      <c r="E23" s="372">
        <v>30.769230769230763</v>
      </c>
      <c r="F23" s="373">
        <v>30.76923076923077</v>
      </c>
      <c r="G23" s="373">
        <v>30.76923076923077</v>
      </c>
      <c r="H23" s="373">
        <v>30.769230769230774</v>
      </c>
      <c r="I23" s="373"/>
      <c r="J23" s="374"/>
      <c r="K23" s="364"/>
      <c r="L23" s="358"/>
      <c r="M23"/>
      <c r="N23" s="335"/>
    </row>
    <row r="24" spans="2:15">
      <c r="B24" s="312"/>
      <c r="C24" s="320" t="s">
        <v>185</v>
      </c>
      <c r="D24" s="320" t="s">
        <v>475</v>
      </c>
      <c r="E24" s="375">
        <v>438</v>
      </c>
      <c r="F24" s="376">
        <v>438</v>
      </c>
      <c r="G24" s="376">
        <v>438</v>
      </c>
      <c r="H24" s="376">
        <v>438</v>
      </c>
      <c r="I24" s="376"/>
      <c r="J24" s="377"/>
      <c r="K24" s="364"/>
      <c r="L24" s="358"/>
      <c r="M24"/>
      <c r="N24" s="335"/>
    </row>
    <row r="25" spans="2:15">
      <c r="B25" s="312"/>
      <c r="C25" s="306" t="s">
        <v>74</v>
      </c>
      <c r="D25" s="307" t="s">
        <v>477</v>
      </c>
      <c r="E25" s="380">
        <v>120.19230769230771</v>
      </c>
      <c r="F25" s="381">
        <v>120.19230769230771</v>
      </c>
      <c r="G25" s="381">
        <v>120.19230769230769</v>
      </c>
      <c r="H25" s="381">
        <v>120.19230769230769</v>
      </c>
      <c r="I25" s="381"/>
      <c r="J25" s="382"/>
      <c r="K25" s="383"/>
      <c r="L25" s="358"/>
      <c r="M25"/>
      <c r="N25" s="335"/>
      <c r="O25"/>
    </row>
    <row r="26" spans="2:15">
      <c r="B26" s="312"/>
      <c r="C26" s="313" t="s">
        <v>76</v>
      </c>
      <c r="D26" s="314" t="s">
        <v>477</v>
      </c>
      <c r="E26" s="372">
        <v>79.807692307692292</v>
      </c>
      <c r="F26" s="373">
        <v>79.807692307692292</v>
      </c>
      <c r="G26" s="373">
        <v>79.807692307692321</v>
      </c>
      <c r="H26" s="373">
        <v>79.807692307692307</v>
      </c>
      <c r="I26" s="373"/>
      <c r="J26" s="374"/>
      <c r="K26" s="364"/>
      <c r="L26" s="358"/>
      <c r="M26"/>
      <c r="N26" s="335"/>
      <c r="O26"/>
    </row>
    <row r="27" spans="2:15">
      <c r="B27" s="312"/>
      <c r="C27" s="313" t="s">
        <v>78</v>
      </c>
      <c r="D27" s="314" t="s">
        <v>477</v>
      </c>
      <c r="E27" s="372">
        <v>59.61538461538462</v>
      </c>
      <c r="F27" s="373">
        <v>59.615384615384613</v>
      </c>
      <c r="G27" s="373">
        <v>59.615384615384627</v>
      </c>
      <c r="H27" s="373">
        <v>59.615384615384627</v>
      </c>
      <c r="I27" s="373"/>
      <c r="J27" s="374"/>
      <c r="K27" s="364"/>
      <c r="L27"/>
      <c r="M27"/>
      <c r="N27" s="335"/>
      <c r="O27"/>
    </row>
    <row r="28" spans="2:15">
      <c r="B28" s="312"/>
      <c r="C28" s="320" t="s">
        <v>478</v>
      </c>
      <c r="D28" s="341" t="s">
        <v>477</v>
      </c>
      <c r="E28" s="375"/>
      <c r="F28" s="376"/>
      <c r="G28" s="376"/>
      <c r="H28" s="376"/>
      <c r="I28" s="376"/>
      <c r="J28" s="377"/>
      <c r="K28" s="378"/>
      <c r="L28"/>
      <c r="M28"/>
      <c r="N28" s="335"/>
      <c r="O28"/>
    </row>
    <row r="29" spans="2:15">
      <c r="B29" s="312"/>
      <c r="C29" s="384" t="s">
        <v>190</v>
      </c>
      <c r="D29" s="385" t="s">
        <v>479</v>
      </c>
      <c r="E29" s="386">
        <v>279.80769230769226</v>
      </c>
      <c r="F29" s="387">
        <v>279.80769230769232</v>
      </c>
      <c r="G29" s="387">
        <v>279.80769230769226</v>
      </c>
      <c r="H29" s="387">
        <v>279.80769230769232</v>
      </c>
      <c r="I29" s="387"/>
      <c r="J29" s="388"/>
      <c r="K29" s="389"/>
      <c r="L29" s="358"/>
      <c r="M29"/>
      <c r="N29" s="335"/>
      <c r="O29"/>
    </row>
    <row r="30" spans="2:15">
      <c r="B30" s="312"/>
      <c r="C30" s="313" t="s">
        <v>80</v>
      </c>
      <c r="D30" s="313" t="s">
        <v>480</v>
      </c>
      <c r="E30" s="372">
        <v>65.384615384615387</v>
      </c>
      <c r="F30" s="373">
        <v>65.384615384615387</v>
      </c>
      <c r="G30" s="373">
        <v>65.384615384615387</v>
      </c>
      <c r="H30" s="373">
        <v>65.384615384615387</v>
      </c>
      <c r="I30" s="373"/>
      <c r="J30" s="374"/>
      <c r="K30" s="364"/>
      <c r="L30" s="390"/>
      <c r="M30"/>
      <c r="N30" s="335"/>
      <c r="O30"/>
    </row>
    <row r="31" spans="2:15">
      <c r="B31" s="312"/>
      <c r="C31" s="313" t="s">
        <v>81</v>
      </c>
      <c r="D31" s="313" t="s">
        <v>481</v>
      </c>
      <c r="E31" s="372">
        <v>20.192307692307693</v>
      </c>
      <c r="F31" s="373">
        <v>20.192307692307693</v>
      </c>
      <c r="G31" s="373">
        <v>20.19230769230769</v>
      </c>
      <c r="H31" s="373">
        <v>20.19230769230769</v>
      </c>
      <c r="I31" s="373"/>
      <c r="J31" s="374"/>
      <c r="K31" s="364"/>
      <c r="L31" s="390"/>
      <c r="M31"/>
      <c r="N31" s="335"/>
    </row>
    <row r="32" spans="2:15">
      <c r="B32" s="312"/>
      <c r="C32" s="320" t="s">
        <v>482</v>
      </c>
      <c r="D32" s="320" t="s">
        <v>480</v>
      </c>
      <c r="E32" s="375">
        <v>451</v>
      </c>
      <c r="F32" s="376">
        <v>451</v>
      </c>
      <c r="G32" s="376">
        <v>451</v>
      </c>
      <c r="H32" s="376">
        <v>451</v>
      </c>
      <c r="I32" s="376"/>
      <c r="J32" s="377"/>
      <c r="K32" s="364"/>
      <c r="L32" s="390"/>
      <c r="M32"/>
      <c r="N32" s="335"/>
    </row>
    <row r="33" spans="2:15">
      <c r="B33" s="312"/>
      <c r="C33" s="348" t="s">
        <v>483</v>
      </c>
      <c r="D33" s="306" t="s">
        <v>468</v>
      </c>
      <c r="E33" s="349">
        <v>26.440572898354961</v>
      </c>
      <c r="F33" s="350">
        <v>26.440572898354958</v>
      </c>
      <c r="G33" s="350">
        <v>26.440572898354951</v>
      </c>
      <c r="H33" s="350">
        <v>26.440572898354954</v>
      </c>
      <c r="I33" s="350"/>
      <c r="J33" s="351"/>
      <c r="K33" s="352"/>
      <c r="L33" s="390"/>
      <c r="M33"/>
      <c r="N33" s="335"/>
    </row>
    <row r="34" spans="2:15">
      <c r="B34" s="312"/>
      <c r="C34" s="353" t="s">
        <v>484</v>
      </c>
      <c r="D34" s="313" t="s">
        <v>469</v>
      </c>
      <c r="E34" s="354">
        <v>139.42307692307691</v>
      </c>
      <c r="F34" s="355">
        <v>139.42307692307691</v>
      </c>
      <c r="G34" s="355">
        <v>139.42307692307691</v>
      </c>
      <c r="H34" s="355">
        <v>139.42307692307693</v>
      </c>
      <c r="I34" s="355"/>
      <c r="J34" s="356"/>
      <c r="K34" s="364"/>
      <c r="L34" s="390"/>
      <c r="M34"/>
      <c r="N34" s="335"/>
    </row>
    <row r="35" spans="2:15">
      <c r="B35" s="312"/>
      <c r="C35" s="353" t="s">
        <v>485</v>
      </c>
      <c r="D35" s="313" t="s">
        <v>469</v>
      </c>
      <c r="E35" s="372">
        <v>168.26923076923075</v>
      </c>
      <c r="F35" s="373">
        <v>168.26923076923077</v>
      </c>
      <c r="G35" s="373">
        <v>168.26923076923077</v>
      </c>
      <c r="H35" s="373">
        <v>168.26923076923075</v>
      </c>
      <c r="I35" s="373"/>
      <c r="J35" s="374"/>
      <c r="K35" s="364"/>
      <c r="L35" s="390"/>
      <c r="M35"/>
      <c r="N35" s="335"/>
    </row>
    <row r="36" spans="2:15">
      <c r="B36" s="312"/>
      <c r="C36" s="365" t="s">
        <v>486</v>
      </c>
      <c r="D36" s="365" t="s">
        <v>487</v>
      </c>
      <c r="E36" s="366">
        <f>IFERROR(1/(IFERROR(('[1]Flow structure'!$E$5+'[1]Flow structure'!$E$6)/('[1]3d. Productivities'!E$33*'[1]Flow structure'!$E$30),)
+IFERROR('[1]Flow structure'!$E$7/('[1]3d. Productivities'!E$34),)
+IFERROR('[1]Flow structure'!$E$8/('[1]3d. Productivities'!E$35),))
+IFERROR(1/E32,0),)</f>
        <v>674.994827388761</v>
      </c>
      <c r="F36" s="367">
        <f>IFERROR(1/(IFERROR(('[1]Flow structure'!$E$5+'[1]Flow structure'!$E$6)/('[1]3d. Productivities'!F$33*'[1]Flow structure'!$E$30),)
+IFERROR('[1]Flow structure'!$E$7/('[1]3d. Productivities'!F$34),)
+IFERROR('[1]Flow structure'!$E$8/('[1]3d. Productivities'!F$35),))
+IFERROR(1/F32,0),)</f>
        <v>674.99482738876111</v>
      </c>
      <c r="G36" s="367">
        <f>IFERROR(1/(IFERROR(('[1]Flow structure'!$E$5+'[1]Flow structure'!$E$6)/('[1]3d. Productivities'!G$33*'[1]Flow structure'!$E$30),)
+IFERROR('[1]Flow structure'!$E$7/('[1]3d. Productivities'!G$34),)
+IFERROR('[1]Flow structure'!$E$8/('[1]3d. Productivities'!G$35),))
+IFERROR(1/G32,0),)</f>
        <v>674.994827388761</v>
      </c>
      <c r="H36" s="367">
        <f>IFERROR(1/(IFERROR(('[1]Flow structure'!$E$5+'[1]Flow structure'!$E$6)/('[1]3d. Productivities'!H$33*'[1]Flow structure'!$E$30),)
+IFERROR('[1]Flow structure'!$E$7/('[1]3d. Productivities'!H$34),)
+IFERROR('[1]Flow structure'!$E$8/('[1]3d. Productivities'!H$35),))
+IFERROR(1/H32,0),)</f>
        <v>674.994827388761</v>
      </c>
      <c r="I36" s="367">
        <f>IFERROR(1/(IFERROR(('[1]Flow structure'!$E$5+'[1]Flow structure'!$E$6)/('[1]3d. Productivities'!I$33*'[1]Flow structure'!$E$30),)
+IFERROR('[1]Flow structure'!$E$7/('[1]3d. Productivities'!I$34),)
+IFERROR('[1]Flow structure'!$E$8/('[1]3d. Productivities'!I$35),))
+IFERROR(1/I32,0),)</f>
        <v>0</v>
      </c>
      <c r="J36" s="368">
        <f>IFERROR(1/(IFERROR(('[1]Flow structure'!$E$5+'[1]Flow structure'!$E$6)/('[1]3d. Productivities'!J$33*'[1]Flow structure'!$E$30),)
+IFERROR('[1]Flow structure'!$E$7/('[1]3d. Productivities'!J$34),)
+IFERROR('[1]Flow structure'!$E$8/('[1]3d. Productivities'!J$35),))
+IFERROR(1/J32,0),)</f>
        <v>0</v>
      </c>
      <c r="K36" s="391"/>
      <c r="L36" s="392"/>
      <c r="M36"/>
      <c r="N36"/>
      <c r="O36"/>
    </row>
    <row r="37" spans="2:15">
      <c r="B37" s="312"/>
      <c r="C37" s="313" t="s">
        <v>488</v>
      </c>
      <c r="D37" s="313" t="s">
        <v>489</v>
      </c>
      <c r="E37" s="393">
        <f t="shared" ref="E37:J38" si="3">E30</f>
        <v>65.384615384615387</v>
      </c>
      <c r="F37" s="394">
        <f t="shared" si="3"/>
        <v>65.384615384615387</v>
      </c>
      <c r="G37" s="394">
        <f t="shared" si="3"/>
        <v>65.384615384615387</v>
      </c>
      <c r="H37" s="394">
        <f t="shared" si="3"/>
        <v>65.384615384615387</v>
      </c>
      <c r="I37" s="394">
        <f t="shared" si="3"/>
        <v>0</v>
      </c>
      <c r="J37" s="395">
        <f t="shared" si="3"/>
        <v>0</v>
      </c>
      <c r="K37" s="352"/>
      <c r="L37"/>
      <c r="M37"/>
      <c r="N37" s="335"/>
    </row>
    <row r="38" spans="2:15">
      <c r="B38" s="312"/>
      <c r="C38" s="313" t="s">
        <v>490</v>
      </c>
      <c r="D38" s="313" t="s">
        <v>491</v>
      </c>
      <c r="E38" s="396">
        <f t="shared" si="3"/>
        <v>20.192307692307693</v>
      </c>
      <c r="F38" s="397">
        <f t="shared" si="3"/>
        <v>20.192307692307693</v>
      </c>
      <c r="G38" s="397">
        <f t="shared" si="3"/>
        <v>20.19230769230769</v>
      </c>
      <c r="H38" s="397">
        <f t="shared" si="3"/>
        <v>20.19230769230769</v>
      </c>
      <c r="I38" s="397">
        <f t="shared" si="3"/>
        <v>0</v>
      </c>
      <c r="J38" s="398">
        <f t="shared" si="3"/>
        <v>0</v>
      </c>
      <c r="K38" s="364"/>
      <c r="L38"/>
      <c r="M38"/>
      <c r="N38" s="335"/>
    </row>
    <row r="39" spans="2:15">
      <c r="B39" s="312"/>
      <c r="C39" s="384" t="s">
        <v>492</v>
      </c>
      <c r="D39" s="385" t="s">
        <v>479</v>
      </c>
      <c r="E39" s="386">
        <v>319.23076923076923</v>
      </c>
      <c r="F39" s="387">
        <v>319.23076923076928</v>
      </c>
      <c r="G39" s="387">
        <v>319.23076923076928</v>
      </c>
      <c r="H39" s="387">
        <v>319.23076923076923</v>
      </c>
      <c r="I39" s="387"/>
      <c r="J39" s="388"/>
      <c r="K39" s="389"/>
      <c r="L39" s="358"/>
      <c r="M39"/>
      <c r="N39" s="335"/>
      <c r="O39"/>
    </row>
    <row r="40" spans="2:15">
      <c r="B40" s="312"/>
      <c r="C40" s="313" t="s">
        <v>82</v>
      </c>
      <c r="D40" s="313" t="s">
        <v>493</v>
      </c>
      <c r="E40" s="372">
        <v>92.307692307692321</v>
      </c>
      <c r="F40" s="373">
        <v>92.307692307692307</v>
      </c>
      <c r="G40" s="373">
        <v>92.307692307692307</v>
      </c>
      <c r="H40" s="373">
        <v>92.307692307692321</v>
      </c>
      <c r="I40" s="373"/>
      <c r="J40" s="374"/>
      <c r="K40" s="364"/>
      <c r="L40" s="358"/>
      <c r="M40"/>
      <c r="N40" s="335"/>
      <c r="O40"/>
    </row>
    <row r="41" spans="2:15">
      <c r="B41" s="312"/>
      <c r="C41" s="320" t="s">
        <v>84</v>
      </c>
      <c r="D41" s="341" t="s">
        <v>494</v>
      </c>
      <c r="E41" s="375">
        <v>15.384615384615387</v>
      </c>
      <c r="F41" s="376">
        <v>15.384615384615383</v>
      </c>
      <c r="G41" s="376">
        <v>15.384615384615383</v>
      </c>
      <c r="H41" s="376">
        <v>15.384615384615385</v>
      </c>
      <c r="I41" s="376"/>
      <c r="J41" s="377"/>
      <c r="K41" s="378"/>
      <c r="L41" s="358"/>
      <c r="M41"/>
      <c r="N41" s="335"/>
    </row>
    <row r="42" spans="2:15">
      <c r="B42" s="312"/>
      <c r="C42" s="313" t="s">
        <v>87</v>
      </c>
      <c r="D42" s="313" t="s">
        <v>495</v>
      </c>
      <c r="E42" s="369">
        <v>2064.5090568657652</v>
      </c>
      <c r="F42" s="370">
        <v>2060.5053954759264</v>
      </c>
      <c r="G42" s="370">
        <v>2060.6464428124527</v>
      </c>
      <c r="H42" s="370">
        <v>2060.654694637321</v>
      </c>
      <c r="I42" s="370"/>
      <c r="J42" s="371"/>
      <c r="K42" s="379"/>
      <c r="L42" s="358"/>
      <c r="M42"/>
      <c r="N42" s="335"/>
    </row>
    <row r="43" spans="2:15">
      <c r="B43" s="312"/>
      <c r="C43" s="313" t="s">
        <v>89</v>
      </c>
      <c r="D43" s="313" t="s">
        <v>496</v>
      </c>
      <c r="E43" s="372">
        <v>983.0995508884597</v>
      </c>
      <c r="F43" s="373">
        <v>981.19304546472699</v>
      </c>
      <c r="G43" s="373">
        <v>981.26021086307287</v>
      </c>
      <c r="H43" s="373">
        <v>981.26414030348599</v>
      </c>
      <c r="I43" s="373"/>
      <c r="J43" s="374"/>
      <c r="K43" s="364"/>
      <c r="L43" s="358"/>
      <c r="M43"/>
      <c r="N43" s="335"/>
    </row>
    <row r="44" spans="2:15">
      <c r="B44" s="305" t="s">
        <v>358</v>
      </c>
      <c r="C44" s="306" t="s">
        <v>497</v>
      </c>
      <c r="D44" s="306" t="s">
        <v>498</v>
      </c>
      <c r="E44" s="380">
        <v>150</v>
      </c>
      <c r="F44" s="381">
        <v>150</v>
      </c>
      <c r="G44" s="381">
        <v>150</v>
      </c>
      <c r="H44" s="381">
        <v>150</v>
      </c>
      <c r="I44" s="381"/>
      <c r="J44" s="382"/>
      <c r="K44" s="383"/>
      <c r="L44"/>
      <c r="M44"/>
      <c r="N44" s="335"/>
    </row>
    <row r="45" spans="2:15">
      <c r="B45" s="312"/>
      <c r="C45" s="399" t="s">
        <v>204</v>
      </c>
      <c r="D45" s="400" t="s">
        <v>499</v>
      </c>
      <c r="E45" s="401">
        <v>278.84615384615387</v>
      </c>
      <c r="F45" s="402">
        <v>278.84615384615387</v>
      </c>
      <c r="G45" s="402">
        <v>278.84615384615381</v>
      </c>
      <c r="H45" s="402">
        <v>278.84615384615381</v>
      </c>
      <c r="I45" s="402"/>
      <c r="J45" s="403"/>
      <c r="K45" s="404"/>
      <c r="L45"/>
      <c r="M45"/>
      <c r="N45" s="335"/>
    </row>
    <row r="46" spans="2:15">
      <c r="B46" s="312"/>
      <c r="C46" s="313" t="s">
        <v>206</v>
      </c>
      <c r="D46" s="314" t="s">
        <v>499</v>
      </c>
      <c r="E46" s="372">
        <v>169.23076923076925</v>
      </c>
      <c r="F46" s="373">
        <v>169.23076923076923</v>
      </c>
      <c r="G46" s="373">
        <v>169.23076923076923</v>
      </c>
      <c r="H46" s="373">
        <v>169.23076923076923</v>
      </c>
      <c r="I46" s="373"/>
      <c r="J46" s="374"/>
      <c r="K46" s="364"/>
      <c r="L46"/>
      <c r="M46"/>
      <c r="N46" s="335"/>
    </row>
    <row r="47" spans="2:15">
      <c r="B47" s="312"/>
      <c r="C47" s="313" t="s">
        <v>208</v>
      </c>
      <c r="D47" s="314" t="s">
        <v>499</v>
      </c>
      <c r="E47" s="372">
        <v>69.230769230769241</v>
      </c>
      <c r="F47" s="373">
        <v>69.230769230769226</v>
      </c>
      <c r="G47" s="373">
        <v>69.230769230769226</v>
      </c>
      <c r="H47" s="373">
        <v>69.230769230769241</v>
      </c>
      <c r="I47" s="373"/>
      <c r="J47" s="374"/>
      <c r="K47" s="364"/>
      <c r="L47"/>
      <c r="M47"/>
      <c r="N47" s="335"/>
    </row>
    <row r="48" spans="2:15">
      <c r="B48" s="312"/>
      <c r="C48" s="405" t="s">
        <v>382</v>
      </c>
      <c r="D48" s="406" t="s">
        <v>499</v>
      </c>
      <c r="E48" s="407"/>
      <c r="F48" s="408"/>
      <c r="G48" s="408"/>
      <c r="H48" s="408"/>
      <c r="I48" s="408"/>
      <c r="J48" s="409"/>
      <c r="K48" s="410"/>
      <c r="L48"/>
      <c r="M48"/>
      <c r="N48" s="335"/>
    </row>
    <row r="49" spans="2:14">
      <c r="B49" s="312"/>
      <c r="C49" s="399" t="s">
        <v>383</v>
      </c>
      <c r="D49" s="400" t="s">
        <v>499</v>
      </c>
      <c r="E49" s="401">
        <f t="shared" ref="E49:H51" si="4">+E53</f>
        <v>278.84615384615387</v>
      </c>
      <c r="F49" s="402">
        <f t="shared" si="4"/>
        <v>1153.8461538461538</v>
      </c>
      <c r="G49" s="402">
        <f t="shared" si="4"/>
        <v>1153.8461538461538</v>
      </c>
      <c r="H49" s="402">
        <f t="shared" si="4"/>
        <v>1153.846153846154</v>
      </c>
      <c r="I49" s="402"/>
      <c r="J49" s="403"/>
      <c r="K49" s="404"/>
      <c r="L49"/>
      <c r="M49"/>
      <c r="N49" s="335"/>
    </row>
    <row r="50" spans="2:14">
      <c r="B50" s="312"/>
      <c r="C50" s="313" t="s">
        <v>385</v>
      </c>
      <c r="D50" s="314" t="s">
        <v>499</v>
      </c>
      <c r="E50" s="372">
        <f t="shared" si="4"/>
        <v>169.23076923076925</v>
      </c>
      <c r="F50" s="373">
        <f t="shared" si="4"/>
        <v>1057.6923076923076</v>
      </c>
      <c r="G50" s="373">
        <f t="shared" si="4"/>
        <v>1057.6923076923076</v>
      </c>
      <c r="H50" s="373">
        <f t="shared" si="4"/>
        <v>1057.6923076923076</v>
      </c>
      <c r="I50" s="373"/>
      <c r="J50" s="374"/>
      <c r="K50" s="364"/>
      <c r="L50"/>
      <c r="M50"/>
      <c r="N50" s="335"/>
    </row>
    <row r="51" spans="2:14">
      <c r="B51" s="312"/>
      <c r="C51" s="313" t="s">
        <v>386</v>
      </c>
      <c r="D51" s="314" t="s">
        <v>499</v>
      </c>
      <c r="E51" s="372">
        <f t="shared" si="4"/>
        <v>69.230769230769241</v>
      </c>
      <c r="F51" s="373">
        <f t="shared" si="4"/>
        <v>817.30769230769238</v>
      </c>
      <c r="G51" s="373">
        <f t="shared" si="4"/>
        <v>817.30769230769226</v>
      </c>
      <c r="H51" s="373">
        <f t="shared" si="4"/>
        <v>817.30769230769226</v>
      </c>
      <c r="I51" s="373"/>
      <c r="J51" s="374"/>
      <c r="K51" s="364"/>
      <c r="L51"/>
      <c r="M51"/>
      <c r="N51" s="335"/>
    </row>
    <row r="52" spans="2:14">
      <c r="B52" s="312"/>
      <c r="C52" s="405" t="s">
        <v>387</v>
      </c>
      <c r="D52" s="406" t="s">
        <v>499</v>
      </c>
      <c r="E52" s="407"/>
      <c r="F52" s="408"/>
      <c r="G52" s="408"/>
      <c r="H52" s="408"/>
      <c r="I52" s="408"/>
      <c r="J52" s="409"/>
      <c r="K52" s="410"/>
      <c r="L52"/>
      <c r="M52"/>
      <c r="N52" s="335"/>
    </row>
    <row r="53" spans="2:14">
      <c r="B53" s="312"/>
      <c r="C53" s="399" t="s">
        <v>388</v>
      </c>
      <c r="D53" s="400" t="s">
        <v>499</v>
      </c>
      <c r="E53" s="401">
        <f>+E45</f>
        <v>278.84615384615387</v>
      </c>
      <c r="F53" s="402">
        <v>1153.8461538461538</v>
      </c>
      <c r="G53" s="402">
        <v>1153.8461538461538</v>
      </c>
      <c r="H53" s="402">
        <v>1153.846153846154</v>
      </c>
      <c r="I53" s="402"/>
      <c r="J53" s="403"/>
      <c r="K53" s="404"/>
      <c r="L53"/>
      <c r="M53"/>
      <c r="N53" s="335"/>
    </row>
    <row r="54" spans="2:14">
      <c r="B54" s="312"/>
      <c r="C54" s="313" t="s">
        <v>390</v>
      </c>
      <c r="D54" s="314" t="s">
        <v>499</v>
      </c>
      <c r="E54" s="372">
        <f>+E46</f>
        <v>169.23076923076925</v>
      </c>
      <c r="F54" s="373">
        <v>1057.6923076923076</v>
      </c>
      <c r="G54" s="373">
        <v>1057.6923076923076</v>
      </c>
      <c r="H54" s="373">
        <v>1057.6923076923076</v>
      </c>
      <c r="I54" s="373"/>
      <c r="J54" s="374"/>
      <c r="K54" s="364"/>
      <c r="L54"/>
      <c r="M54"/>
      <c r="N54" s="335"/>
    </row>
    <row r="55" spans="2:14">
      <c r="B55" s="312"/>
      <c r="C55" s="313" t="s">
        <v>391</v>
      </c>
      <c r="D55" s="314" t="s">
        <v>499</v>
      </c>
      <c r="E55" s="372">
        <f>+E47</f>
        <v>69.230769230769241</v>
      </c>
      <c r="F55" s="373">
        <v>817.30769230769238</v>
      </c>
      <c r="G55" s="373">
        <v>817.30769230769226</v>
      </c>
      <c r="H55" s="373">
        <v>817.30769230769226</v>
      </c>
      <c r="I55" s="373"/>
      <c r="J55" s="374"/>
      <c r="K55" s="364"/>
      <c r="L55"/>
      <c r="M55"/>
      <c r="N55" s="335"/>
    </row>
    <row r="56" spans="2:14">
      <c r="B56" s="312"/>
      <c r="C56" s="313" t="s">
        <v>392</v>
      </c>
      <c r="D56" s="314" t="s">
        <v>499</v>
      </c>
      <c r="E56" s="372"/>
      <c r="F56" s="373"/>
      <c r="G56" s="373"/>
      <c r="H56" s="373"/>
      <c r="I56" s="373"/>
      <c r="J56" s="374"/>
      <c r="K56" s="364"/>
      <c r="L56"/>
      <c r="M56"/>
      <c r="N56" s="335"/>
    </row>
    <row r="57" spans="2:14">
      <c r="B57" s="312"/>
      <c r="C57" s="411" t="s">
        <v>500</v>
      </c>
      <c r="D57" s="411" t="s">
        <v>501</v>
      </c>
      <c r="E57" s="412">
        <f>1-E58</f>
        <v>1</v>
      </c>
      <c r="F57" s="413">
        <f t="shared" ref="F57:J57" si="5">1-F58</f>
        <v>0.45333333333333337</v>
      </c>
      <c r="G57" s="413">
        <f t="shared" si="5"/>
        <v>0.18000000000000005</v>
      </c>
      <c r="H57" s="413">
        <f t="shared" si="5"/>
        <v>0.18000000000000005</v>
      </c>
      <c r="I57" s="413">
        <f t="shared" si="5"/>
        <v>0.18000000000000005</v>
      </c>
      <c r="J57" s="414">
        <f t="shared" si="5"/>
        <v>0.18000000000000005</v>
      </c>
      <c r="K57" s="415"/>
      <c r="L57"/>
      <c r="M57"/>
      <c r="N57" s="335"/>
    </row>
    <row r="58" spans="2:14">
      <c r="B58" s="312"/>
      <c r="C58" s="416" t="s">
        <v>502</v>
      </c>
      <c r="D58" s="416" t="s">
        <v>501</v>
      </c>
      <c r="E58" s="417">
        <f>'[1]Flow structure'!E69</f>
        <v>0</v>
      </c>
      <c r="F58" s="418">
        <f>'[1]Flow structure'!E70</f>
        <v>0.54666666666666663</v>
      </c>
      <c r="G58" s="418">
        <f>'[1]Flow structure'!E71</f>
        <v>0.82</v>
      </c>
      <c r="H58" s="418">
        <f>'[1]Flow structure'!E72</f>
        <v>0.82</v>
      </c>
      <c r="I58" s="418">
        <f>'[1]Flow structure'!E73</f>
        <v>0.82</v>
      </c>
      <c r="J58" s="419">
        <f>'[1]Flow structure'!E74</f>
        <v>0.82</v>
      </c>
      <c r="K58" s="391"/>
      <c r="L58"/>
      <c r="M58"/>
      <c r="N58" s="335"/>
    </row>
    <row r="59" spans="2:14">
      <c r="B59" s="312"/>
      <c r="C59" s="313" t="s">
        <v>503</v>
      </c>
      <c r="D59" s="313" t="s">
        <v>499</v>
      </c>
      <c r="E59" s="393">
        <f>IFERROR(1/(IFERROR(E$57/'[1]3d. Productivities'!E45,0)+IFERROR('[1]Flow structure'!$E$75*E$58/'[1]3d. Productivities'!E49,0)+IFERROR('[1]Flow structure'!$E$76*E$58/'[1]3d. Productivities'!E53,0)),)</f>
        <v>278.84615384615387</v>
      </c>
      <c r="F59" s="394">
        <f>IFERROR(1/(IFERROR(F$57/'[1]3d. Productivities'!F45,0)+IFERROR('[1]Flow structure'!$E$75*F$58/'[1]3d. Productivities'!F49,0)+IFERROR('[1]Flow structure'!$E$76*F$58/'[1]3d. Productivities'!F53,0)),)</f>
        <v>476.29823203935939</v>
      </c>
      <c r="G59" s="394">
        <f>IFERROR(1/(IFERROR(G$57/'[1]3d. Productivities'!G45,0)+IFERROR('[1]Flow structure'!$E$75*G$58/'[1]3d. Productivities'!G49,0)+IFERROR('[1]Flow structure'!$E$76*G$58/'[1]3d. Productivities'!G53,0)),)</f>
        <v>737.36312167339031</v>
      </c>
      <c r="H59" s="394">
        <f>IFERROR(1/(IFERROR(H$57/'[1]3d. Productivities'!H45,0)+IFERROR('[1]Flow structure'!$E$75*H$58/'[1]3d. Productivities'!H49,0)+IFERROR('[1]Flow structure'!$E$76*H$58/'[1]3d. Productivities'!H53,0)),)</f>
        <v>737.36312167339042</v>
      </c>
      <c r="I59" s="394">
        <f>IFERROR(1/(IFERROR(I$57/'[1]3d. Productivities'!I45,0)+IFERROR('[1]Flow structure'!$E$75*I$58/'[1]3d. Productivities'!I49,0)+IFERROR('[1]Flow structure'!$E$76*I$58/'[1]3d. Productivities'!I53,0)),)</f>
        <v>0</v>
      </c>
      <c r="J59" s="395">
        <f>IFERROR(1/(IFERROR(J$57/'[1]3d. Productivities'!J45,0)+IFERROR('[1]Flow structure'!$E$75*J$58/'[1]3d. Productivities'!J49,0)+IFERROR('[1]Flow structure'!$E$76*J$58/'[1]3d. Productivities'!J53,0)),)</f>
        <v>0</v>
      </c>
      <c r="K59" s="379"/>
      <c r="L59" s="358"/>
      <c r="M59"/>
      <c r="N59" s="335"/>
    </row>
    <row r="60" spans="2:14">
      <c r="B60" s="312"/>
      <c r="C60" s="313" t="s">
        <v>504</v>
      </c>
      <c r="D60" s="313" t="s">
        <v>499</v>
      </c>
      <c r="E60" s="396">
        <f>IFERROR(1/(IFERROR(E$57/'[1]3d. Productivities'!E46,0)+IFERROR('[1]Flow structure'!$E$75*E$58/'[1]3d. Productivities'!E50,0)+IFERROR('[1]Flow structure'!$E$76*E$58/'[1]3d. Productivities'!E54,0)),)</f>
        <v>169.23076923076925</v>
      </c>
      <c r="F60" s="397">
        <f>IFERROR(1/(IFERROR(F$57/'[1]3d. Productivities'!F46,0)+IFERROR('[1]Flow structure'!$E$75*F$58/'[1]3d. Productivities'!F50,0)+IFERROR('[1]Flow structure'!$E$76*F$58/'[1]3d. Productivities'!F54,0)),)</f>
        <v>312.926718252162</v>
      </c>
      <c r="G60" s="397">
        <f>IFERROR(1/(IFERROR(G$57/'[1]3d. Productivities'!G46,0)+IFERROR('[1]Flow structure'!$E$75*G$58/'[1]3d. Productivities'!G50,0)+IFERROR('[1]Flow structure'!$E$76*G$58/'[1]3d. Productivities'!G54,0)),)</f>
        <v>543.80067233537659</v>
      </c>
      <c r="H60" s="397">
        <f>IFERROR(1/(IFERROR(H$57/'[1]3d. Productivities'!H46,0)+IFERROR('[1]Flow structure'!$E$75*H$58/'[1]3d. Productivities'!H50,0)+IFERROR('[1]Flow structure'!$E$76*H$58/'[1]3d. Productivities'!H54,0)),)</f>
        <v>543.80067233537659</v>
      </c>
      <c r="I60" s="397">
        <f>IFERROR(1/(IFERROR(I$57/'[1]3d. Productivities'!I46,0)+IFERROR('[1]Flow structure'!$E$75*I$58/'[1]3d. Productivities'!I50,0)+IFERROR('[1]Flow structure'!$E$76*I$58/'[1]3d. Productivities'!I54,0)),)</f>
        <v>0</v>
      </c>
      <c r="J60" s="398">
        <f>IFERROR(1/(IFERROR(J$57/'[1]3d. Productivities'!J46,0)+IFERROR('[1]Flow structure'!$E$75*J$58/'[1]3d. Productivities'!J50,0)+IFERROR('[1]Flow structure'!$E$76*J$58/'[1]3d. Productivities'!J54,0)),)</f>
        <v>0</v>
      </c>
      <c r="K60" s="364"/>
      <c r="L60" s="358"/>
      <c r="M60"/>
      <c r="N60" s="335"/>
    </row>
    <row r="61" spans="2:14">
      <c r="B61" s="312"/>
      <c r="C61" s="313" t="s">
        <v>505</v>
      </c>
      <c r="D61" s="313" t="s">
        <v>499</v>
      </c>
      <c r="E61" s="396">
        <f>IFERROR(1/(IFERROR(E$57/'[1]3d. Productivities'!E47,0)+IFERROR('[1]Flow structure'!$E$75*E$58/'[1]3d. Productivities'!E51,0)+IFERROR('[1]Flow structure'!$E$76*E$58/'[1]3d. Productivities'!E55,0)),)</f>
        <v>69.230769230769241</v>
      </c>
      <c r="F61" s="397">
        <f>IFERROR(1/(IFERROR(F$57/'[1]3d. Productivities'!F47,0)+IFERROR('[1]Flow structure'!$E$75*F$58/'[1]3d. Productivities'!F51,0)+IFERROR('[1]Flow structure'!$E$76*F$58/'[1]3d. Productivities'!F55,0)),)</f>
        <v>138.56152010741988</v>
      </c>
      <c r="G61" s="397">
        <f>IFERROR(1/(IFERROR(G$57/'[1]3d. Productivities'!G47,0)+IFERROR('[1]Flow structure'!$E$75*G$58/'[1]3d. Productivities'!G51,0)+IFERROR('[1]Flow structure'!$E$76*G$58/'[1]3d. Productivities'!G55,0)),)</f>
        <v>277.52383439989546</v>
      </c>
      <c r="H61" s="397">
        <f>IFERROR(1/(IFERROR(H$57/'[1]3d. Productivities'!H47,0)+IFERROR('[1]Flow structure'!$E$75*H$58/'[1]3d. Productivities'!H51,0)+IFERROR('[1]Flow structure'!$E$76*H$58/'[1]3d. Productivities'!H55,0)),)</f>
        <v>277.52383439989552</v>
      </c>
      <c r="I61" s="397">
        <f>IFERROR(1/(IFERROR(I$57/'[1]3d. Productivities'!I47,0)+IFERROR('[1]Flow structure'!$E$75*I$58/'[1]3d. Productivities'!I51,0)+IFERROR('[1]Flow structure'!$E$76*I$58/'[1]3d. Productivities'!I55,0)),)</f>
        <v>0</v>
      </c>
      <c r="J61" s="398">
        <f>IFERROR(1/(IFERROR(J$57/'[1]3d. Productivities'!J47,0)+IFERROR('[1]Flow structure'!$E$75*J$58/'[1]3d. Productivities'!J51,0)+IFERROR('[1]Flow structure'!$E$76*J$58/'[1]3d. Productivities'!J55,0)),)</f>
        <v>0</v>
      </c>
      <c r="K61" s="364"/>
      <c r="L61" s="390"/>
      <c r="M61"/>
      <c r="N61" s="335"/>
    </row>
    <row r="62" spans="2:14">
      <c r="B62" s="312"/>
      <c r="C62" s="313" t="s">
        <v>506</v>
      </c>
      <c r="D62" s="313" t="s">
        <v>499</v>
      </c>
      <c r="E62" s="396">
        <f>IFERROR(1/(IFERROR(E$57/'[1]3d. Productivities'!E48,0)+IFERROR('[1]Flow structure'!$E$75*E$58/'[1]3d. Productivities'!E52,0)+IFERROR('[1]Flow structure'!$E$76*E$58/'[1]3d. Productivities'!E56,0)),)</f>
        <v>0</v>
      </c>
      <c r="F62" s="397">
        <f>IFERROR(1/(IFERROR(F$57/'[1]3d. Productivities'!F48,0)+IFERROR('[1]Flow structure'!$E$75*F$58/'[1]3d. Productivities'!F52,0)+IFERROR('[1]Flow structure'!$E$76*F$58/'[1]3d. Productivities'!F56,0)),)</f>
        <v>0</v>
      </c>
      <c r="G62" s="397">
        <f>IFERROR(1/(IFERROR(G$57/'[1]3d. Productivities'!G48,0)+IFERROR('[1]Flow structure'!$E$75*G$58/'[1]3d. Productivities'!G52,0)+IFERROR('[1]Flow structure'!$E$76*G$58/'[1]3d. Productivities'!G56,0)),)</f>
        <v>0</v>
      </c>
      <c r="H62" s="397">
        <f>IFERROR(1/(IFERROR(H$57/'[1]3d. Productivities'!H48,0)+IFERROR('[1]Flow structure'!$E$75*H$58/'[1]3d. Productivities'!H52,0)+IFERROR('[1]Flow structure'!$E$76*H$58/'[1]3d. Productivities'!H56,0)),)</f>
        <v>0</v>
      </c>
      <c r="I62" s="397">
        <f>IFERROR(1/(IFERROR(I$57/'[1]3d. Productivities'!I48,0)+IFERROR('[1]Flow structure'!$E$75*I$58/'[1]3d. Productivities'!I52,0)+IFERROR('[1]Flow structure'!$E$76*I$58/'[1]3d. Productivities'!I56,0)),)</f>
        <v>0</v>
      </c>
      <c r="J62" s="398">
        <f>IFERROR(1/(IFERROR(J$57/'[1]3d. Productivities'!J48,0)+IFERROR('[1]Flow structure'!$E$75*J$58/'[1]3d. Productivities'!J52,0)+IFERROR('[1]Flow structure'!$E$76*J$58/'[1]3d. Productivities'!J56,0)),)</f>
        <v>0</v>
      </c>
      <c r="K62" s="364"/>
      <c r="L62" s="390"/>
      <c r="M62"/>
      <c r="N62" s="335"/>
    </row>
    <row r="63" spans="2:14">
      <c r="B63" s="312"/>
      <c r="C63" s="420" t="s">
        <v>402</v>
      </c>
      <c r="D63" s="421" t="s">
        <v>507</v>
      </c>
      <c r="E63" s="422"/>
      <c r="F63" s="423">
        <v>151.08597285067873</v>
      </c>
      <c r="G63" s="423">
        <v>151.08597285067873</v>
      </c>
      <c r="H63" s="423">
        <v>151.08597285067876</v>
      </c>
      <c r="I63" s="423"/>
      <c r="J63" s="424"/>
      <c r="K63" s="425"/>
      <c r="L63" s="390"/>
      <c r="M63"/>
      <c r="N63" s="335"/>
    </row>
    <row r="64" spans="2:14">
      <c r="B64" s="312"/>
      <c r="C64" s="348" t="s">
        <v>199</v>
      </c>
      <c r="D64" s="306" t="s">
        <v>508</v>
      </c>
      <c r="E64" s="380">
        <v>50.607287449392707</v>
      </c>
      <c r="F64" s="381">
        <v>50.6072874493927</v>
      </c>
      <c r="G64" s="381">
        <v>50.607287449392722</v>
      </c>
      <c r="H64" s="381">
        <v>50.607287449392707</v>
      </c>
      <c r="I64" s="381"/>
      <c r="J64" s="382"/>
      <c r="K64" s="383"/>
      <c r="L64" s="390"/>
      <c r="M64"/>
      <c r="N64" s="335"/>
    </row>
    <row r="65" spans="2:14">
      <c r="B65" s="312"/>
      <c r="C65" s="353" t="s">
        <v>197</v>
      </c>
      <c r="D65" s="313" t="s">
        <v>508</v>
      </c>
      <c r="E65" s="372">
        <v>62.500000000000014</v>
      </c>
      <c r="F65" s="373">
        <v>62.500000000000007</v>
      </c>
      <c r="G65" s="373">
        <v>62.500000000000007</v>
      </c>
      <c r="H65" s="373">
        <v>62.499999999999993</v>
      </c>
      <c r="I65" s="373"/>
      <c r="J65" s="374"/>
      <c r="K65" s="364"/>
      <c r="L65" s="390"/>
      <c r="M65"/>
      <c r="N65" s="335"/>
    </row>
    <row r="66" spans="2:14">
      <c r="B66" s="312"/>
      <c r="C66" s="426" t="s">
        <v>509</v>
      </c>
      <c r="D66" s="426" t="s">
        <v>508</v>
      </c>
      <c r="E66" s="427">
        <f>IFERROR(1/IFERROR(IFERROR('[1]Flow structure'!$E$86/'[1]3d. Productivities'!E64,0)+IFERROR('[1]Flow structure'!$E$87/'[1]3d. Productivities'!E65,0),0),)</f>
        <v>59.694364851957992</v>
      </c>
      <c r="F66" s="428">
        <f>IFERROR(1/IFERROR(IFERROR('[1]Flow structure'!$E$86/'[1]3d. Productivities'!F64,0)+IFERROR('[1]Flow structure'!$E$87/'[1]3d. Productivities'!F65,0),0),)</f>
        <v>59.694364851957978</v>
      </c>
      <c r="G66" s="428">
        <f>IFERROR(1/IFERROR(IFERROR('[1]Flow structure'!$E$86/'[1]3d. Productivities'!G64,0)+IFERROR('[1]Flow structure'!$E$87/'[1]3d. Productivities'!G65,0),0),)</f>
        <v>59.694364851957978</v>
      </c>
      <c r="H66" s="428">
        <f>IFERROR(1/IFERROR(IFERROR('[1]Flow structure'!$E$86/'[1]3d. Productivities'!H64,0)+IFERROR('[1]Flow structure'!$E$87/'[1]3d. Productivities'!H65,0),0),)</f>
        <v>59.694364851957964</v>
      </c>
      <c r="I66" s="428">
        <f>IFERROR(1/IFERROR(IFERROR('[1]Flow structure'!$E$86/'[1]3d. Productivities'!I64,0)+IFERROR('[1]Flow structure'!$E$87/'[1]3d. Productivities'!I65,0),0),)</f>
        <v>0</v>
      </c>
      <c r="J66" s="429">
        <f>IFERROR(1/IFERROR(IFERROR('[1]Flow structure'!$E$86/'[1]3d. Productivities'!J64,0)+IFERROR('[1]Flow structure'!$E$87/'[1]3d. Productivities'!J65,0),0),)</f>
        <v>0</v>
      </c>
      <c r="K66" s="430"/>
      <c r="L66"/>
      <c r="M66"/>
      <c r="N66" s="335"/>
    </row>
    <row r="67" spans="2:14">
      <c r="B67" s="312"/>
      <c r="C67" s="320" t="s">
        <v>201</v>
      </c>
      <c r="D67" s="320" t="s">
        <v>510</v>
      </c>
      <c r="E67" s="431">
        <v>20.192307692307693</v>
      </c>
      <c r="F67" s="432">
        <v>20.192307692307693</v>
      </c>
      <c r="G67" s="432">
        <v>20.192307692307693</v>
      </c>
      <c r="H67" s="432">
        <v>20.192307692307697</v>
      </c>
      <c r="I67" s="432"/>
      <c r="J67" s="433"/>
      <c r="K67" s="434"/>
      <c r="L67" s="390"/>
      <c r="M67"/>
      <c r="N67" s="335"/>
    </row>
    <row r="68" spans="2:14">
      <c r="B68" s="312"/>
      <c r="C68" s="313" t="s">
        <v>511</v>
      </c>
      <c r="D68" s="313" t="s">
        <v>508</v>
      </c>
      <c r="E68" s="380">
        <v>815.04630874470763</v>
      </c>
      <c r="F68" s="381">
        <v>815.04630874470752</v>
      </c>
      <c r="G68" s="381">
        <v>815.04630874470786</v>
      </c>
      <c r="H68" s="381">
        <v>815.04630874470797</v>
      </c>
      <c r="I68" s="381"/>
      <c r="J68" s="382"/>
      <c r="K68" s="383"/>
      <c r="L68" s="390"/>
      <c r="M68"/>
      <c r="N68" s="335"/>
    </row>
    <row r="69" spans="2:14">
      <c r="B69" s="312"/>
      <c r="C69" s="313" t="s">
        <v>512</v>
      </c>
      <c r="D69" s="313" t="s">
        <v>513</v>
      </c>
      <c r="E69" s="372"/>
      <c r="F69" s="373"/>
      <c r="G69" s="373"/>
      <c r="H69" s="373"/>
      <c r="I69" s="373"/>
      <c r="J69" s="374"/>
      <c r="K69" s="364"/>
      <c r="L69"/>
      <c r="M69"/>
      <c r="N69" s="335"/>
    </row>
    <row r="70" spans="2:14">
      <c r="B70" s="312"/>
      <c r="C70" s="313" t="s">
        <v>211</v>
      </c>
      <c r="D70" s="313" t="s">
        <v>514</v>
      </c>
      <c r="E70" s="372">
        <v>65.384615384615387</v>
      </c>
      <c r="F70" s="373">
        <v>65.384615384615387</v>
      </c>
      <c r="G70" s="373">
        <v>65.384615384615387</v>
      </c>
      <c r="H70" s="373">
        <v>65.384615384615387</v>
      </c>
      <c r="I70" s="373"/>
      <c r="J70" s="374"/>
      <c r="K70" s="364"/>
      <c r="L70" s="390"/>
      <c r="M70"/>
      <c r="N70" s="335"/>
    </row>
    <row r="71" spans="2:14">
      <c r="B71" s="312"/>
      <c r="C71" s="346" t="s">
        <v>213</v>
      </c>
      <c r="D71" s="314" t="s">
        <v>515</v>
      </c>
      <c r="E71" s="372">
        <v>77.073317307692321</v>
      </c>
      <c r="F71" s="373">
        <v>77.073317307692321</v>
      </c>
      <c r="G71" s="373">
        <v>77.073317307692292</v>
      </c>
      <c r="H71" s="373">
        <v>77.073317307692321</v>
      </c>
      <c r="I71" s="373"/>
      <c r="J71" s="374"/>
      <c r="K71" s="364"/>
      <c r="L71"/>
      <c r="M71"/>
      <c r="N71" s="335"/>
    </row>
    <row r="72" spans="2:14">
      <c r="B72" s="312"/>
      <c r="C72" s="343" t="s">
        <v>216</v>
      </c>
      <c r="D72" s="307" t="s">
        <v>516</v>
      </c>
      <c r="E72" s="380">
        <v>25.80669827190702</v>
      </c>
      <c r="F72" s="381">
        <v>25.806698271907017</v>
      </c>
      <c r="G72" s="381">
        <v>25.806698271907017</v>
      </c>
      <c r="H72" s="381">
        <v>25.806698271907017</v>
      </c>
      <c r="I72" s="381"/>
      <c r="J72" s="382"/>
      <c r="K72" s="383"/>
      <c r="L72" s="390"/>
      <c r="M72"/>
      <c r="N72" s="335"/>
    </row>
    <row r="73" spans="2:14">
      <c r="B73" s="312"/>
      <c r="C73" s="346" t="s">
        <v>218</v>
      </c>
      <c r="D73" s="314" t="s">
        <v>517</v>
      </c>
      <c r="E73" s="372">
        <v>400</v>
      </c>
      <c r="F73" s="373">
        <v>400</v>
      </c>
      <c r="G73" s="373">
        <v>400</v>
      </c>
      <c r="H73" s="373">
        <v>399.99999999999994</v>
      </c>
      <c r="I73" s="373"/>
      <c r="J73" s="374"/>
      <c r="K73" s="364"/>
      <c r="L73"/>
      <c r="M73"/>
      <c r="N73" s="335"/>
    </row>
    <row r="74" spans="2:14">
      <c r="B74" s="312"/>
      <c r="C74" s="346" t="s">
        <v>221</v>
      </c>
      <c r="D74" s="314" t="s">
        <v>518</v>
      </c>
      <c r="E74" s="372">
        <v>30.76923076923077</v>
      </c>
      <c r="F74" s="373">
        <v>30.769230769230777</v>
      </c>
      <c r="G74" s="373">
        <v>30.769230769230766</v>
      </c>
      <c r="H74" s="373">
        <v>30.76923076923077</v>
      </c>
      <c r="I74" s="373"/>
      <c r="J74" s="374"/>
      <c r="K74" s="364"/>
      <c r="L74" s="390"/>
      <c r="M74"/>
      <c r="N74" s="335"/>
    </row>
    <row r="75" spans="2:14">
      <c r="B75" s="312"/>
      <c r="C75" s="435" t="s">
        <v>223</v>
      </c>
      <c r="D75" s="436" t="s">
        <v>519</v>
      </c>
      <c r="E75" s="375">
        <v>150</v>
      </c>
      <c r="F75" s="376">
        <v>150</v>
      </c>
      <c r="G75" s="376">
        <v>150</v>
      </c>
      <c r="H75" s="376">
        <v>150</v>
      </c>
      <c r="I75" s="376"/>
      <c r="J75" s="377"/>
      <c r="K75" s="378"/>
      <c r="L75"/>
      <c r="M75"/>
      <c r="N75" s="335"/>
    </row>
    <row r="76" spans="2:14">
      <c r="B76" s="312"/>
      <c r="C76" s="437" t="s">
        <v>520</v>
      </c>
      <c r="D76" s="438" t="s">
        <v>498</v>
      </c>
      <c r="E76" s="372">
        <v>40</v>
      </c>
      <c r="F76" s="373">
        <v>40</v>
      </c>
      <c r="G76" s="373">
        <v>40</v>
      </c>
      <c r="H76" s="373">
        <v>40</v>
      </c>
      <c r="I76" s="373"/>
      <c r="J76" s="374"/>
      <c r="K76" s="374"/>
      <c r="L76"/>
      <c r="M76"/>
      <c r="N76" s="335"/>
    </row>
    <row r="77" spans="2:14">
      <c r="B77" s="312"/>
      <c r="C77" s="437" t="s">
        <v>521</v>
      </c>
      <c r="D77" s="438" t="s">
        <v>498</v>
      </c>
      <c r="E77" s="372">
        <v>120</v>
      </c>
      <c r="F77" s="373">
        <v>120</v>
      </c>
      <c r="G77" s="373">
        <v>120</v>
      </c>
      <c r="H77" s="373">
        <v>120</v>
      </c>
      <c r="I77" s="373"/>
      <c r="J77" s="374"/>
      <c r="K77" s="374"/>
      <c r="L77"/>
      <c r="M77"/>
      <c r="N77" s="335"/>
    </row>
    <row r="78" spans="2:14">
      <c r="B78" s="312"/>
      <c r="C78" s="437" t="s">
        <v>522</v>
      </c>
      <c r="D78" s="438" t="s">
        <v>498</v>
      </c>
      <c r="E78" s="372">
        <v>350</v>
      </c>
      <c r="F78" s="373">
        <v>350</v>
      </c>
      <c r="G78" s="373">
        <v>350</v>
      </c>
      <c r="H78" s="373">
        <v>350</v>
      </c>
      <c r="I78" s="373"/>
      <c r="J78" s="374"/>
      <c r="K78" s="374"/>
      <c r="L78"/>
      <c r="M78"/>
      <c r="N78" s="335"/>
    </row>
    <row r="79" spans="2:14">
      <c r="B79" s="312"/>
      <c r="C79" s="437" t="s">
        <v>523</v>
      </c>
      <c r="D79" s="438" t="s">
        <v>498</v>
      </c>
      <c r="E79" s="372">
        <v>350</v>
      </c>
      <c r="F79" s="373">
        <v>350</v>
      </c>
      <c r="G79" s="373">
        <v>350</v>
      </c>
      <c r="H79" s="373">
        <v>350</v>
      </c>
      <c r="I79" s="373"/>
      <c r="J79" s="374"/>
      <c r="K79" s="374"/>
      <c r="L79"/>
      <c r="M79"/>
      <c r="N79" s="335"/>
    </row>
    <row r="80" spans="2:14">
      <c r="B80" s="312"/>
      <c r="C80" s="437" t="s">
        <v>524</v>
      </c>
      <c r="D80" s="438" t="s">
        <v>498</v>
      </c>
      <c r="E80" s="372">
        <v>80</v>
      </c>
      <c r="F80" s="373">
        <v>80</v>
      </c>
      <c r="G80" s="373">
        <v>80</v>
      </c>
      <c r="H80" s="373">
        <v>80</v>
      </c>
      <c r="I80" s="373"/>
      <c r="J80" s="374"/>
      <c r="K80" s="374"/>
      <c r="L80"/>
      <c r="M80"/>
      <c r="N80" s="335"/>
    </row>
    <row r="81" spans="2:14">
      <c r="B81" s="312"/>
      <c r="C81" s="435" t="s">
        <v>525</v>
      </c>
      <c r="D81" s="436" t="s">
        <v>498</v>
      </c>
      <c r="E81" s="375">
        <v>19.230769230769234</v>
      </c>
      <c r="F81" s="376">
        <v>19.23076923076923</v>
      </c>
      <c r="G81" s="376">
        <v>19.230769230769237</v>
      </c>
      <c r="H81" s="376">
        <v>19.230769230769226</v>
      </c>
      <c r="I81" s="376"/>
      <c r="J81" s="377"/>
      <c r="K81" s="377"/>
      <c r="L81"/>
      <c r="M81"/>
      <c r="N81" s="335"/>
    </row>
    <row r="82" spans="2:14">
      <c r="B82" s="312"/>
      <c r="C82" s="346" t="s">
        <v>229</v>
      </c>
      <c r="D82" s="314" t="s">
        <v>526</v>
      </c>
      <c r="E82" s="369">
        <v>1159.789669827464</v>
      </c>
      <c r="F82" s="370">
        <v>1352.6784195594842</v>
      </c>
      <c r="G82" s="370">
        <v>1475.3650249240059</v>
      </c>
      <c r="H82" s="370">
        <v>1475.3650249240061</v>
      </c>
      <c r="I82" s="370"/>
      <c r="J82" s="371"/>
      <c r="K82" s="379"/>
      <c r="L82" s="358"/>
      <c r="M82"/>
      <c r="N82" s="335"/>
    </row>
    <row r="83" spans="2:14">
      <c r="B83" s="312"/>
      <c r="C83" s="346" t="s">
        <v>231</v>
      </c>
      <c r="D83" s="314" t="s">
        <v>527</v>
      </c>
      <c r="E83" s="372">
        <v>430.24455493599476</v>
      </c>
      <c r="F83" s="373">
        <v>501.80005886884089</v>
      </c>
      <c r="G83" s="373">
        <v>547.31283182664743</v>
      </c>
      <c r="H83" s="373">
        <v>547.31283182664743</v>
      </c>
      <c r="I83" s="373"/>
      <c r="J83" s="374"/>
      <c r="K83" s="364"/>
      <c r="L83" s="358"/>
      <c r="M83"/>
      <c r="N83" s="335"/>
    </row>
    <row r="84" spans="2:14">
      <c r="B84" s="305" t="s">
        <v>528</v>
      </c>
      <c r="C84" s="343" t="s">
        <v>529</v>
      </c>
      <c r="D84" s="307" t="s">
        <v>508</v>
      </c>
      <c r="E84" s="380">
        <v>44.230769230769226</v>
      </c>
      <c r="F84" s="381">
        <v>44.230769230769226</v>
      </c>
      <c r="G84" s="381">
        <v>44.230769230769226</v>
      </c>
      <c r="H84" s="381">
        <v>44.230769230769234</v>
      </c>
      <c r="I84" s="381"/>
      <c r="J84" s="382"/>
      <c r="K84" s="382"/>
      <c r="L84"/>
      <c r="M84"/>
      <c r="N84" s="335"/>
    </row>
    <row r="85" spans="2:14">
      <c r="B85" s="312"/>
      <c r="C85" s="346" t="s">
        <v>530</v>
      </c>
      <c r="D85" s="314" t="s">
        <v>531</v>
      </c>
      <c r="E85" s="372">
        <v>70.192307692307693</v>
      </c>
      <c r="F85" s="373">
        <v>70.192307692307693</v>
      </c>
      <c r="G85" s="373">
        <v>70.192307692307679</v>
      </c>
      <c r="H85" s="373">
        <v>70.192307692307708</v>
      </c>
      <c r="I85" s="373"/>
      <c r="J85" s="374"/>
      <c r="K85" s="374"/>
      <c r="L85"/>
      <c r="M85"/>
      <c r="N85" s="335"/>
    </row>
    <row r="86" spans="2:14">
      <c r="B86" s="312"/>
      <c r="C86" s="346" t="s">
        <v>532</v>
      </c>
      <c r="D86" s="314" t="s">
        <v>533</v>
      </c>
      <c r="E86" s="372">
        <v>1089.1205614039013</v>
      </c>
      <c r="F86" s="373">
        <v>1089.1205614039013</v>
      </c>
      <c r="G86" s="373">
        <v>1089.1205614039015</v>
      </c>
      <c r="H86" s="373">
        <v>1089.1205614039013</v>
      </c>
      <c r="I86" s="373"/>
      <c r="J86" s="374"/>
      <c r="K86" s="374"/>
      <c r="L86"/>
      <c r="M86"/>
      <c r="N86" s="335"/>
    </row>
    <row r="87" spans="2:14">
      <c r="B87" s="312"/>
      <c r="C87" s="346" t="s">
        <v>534</v>
      </c>
      <c r="D87" s="314" t="s">
        <v>535</v>
      </c>
      <c r="E87" s="372">
        <v>2403.8461538461538</v>
      </c>
      <c r="F87" s="373">
        <v>2403.8461538461543</v>
      </c>
      <c r="G87" s="373">
        <v>2403.8461538461538</v>
      </c>
      <c r="H87" s="373">
        <v>2403.8461538461538</v>
      </c>
      <c r="I87" s="373"/>
      <c r="J87" s="374"/>
      <c r="K87" s="374" t="s">
        <v>536</v>
      </c>
      <c r="L87"/>
      <c r="M87"/>
      <c r="N87" s="335"/>
    </row>
    <row r="88" spans="2:14">
      <c r="B88" s="305" t="s">
        <v>537</v>
      </c>
      <c r="C88" s="343" t="s">
        <v>538</v>
      </c>
      <c r="D88" s="307" t="s">
        <v>539</v>
      </c>
      <c r="E88" s="439">
        <f>IFERROR(1/(1/E84+1/E85+1/E86),)</f>
        <v>26.47362593454077</v>
      </c>
      <c r="F88" s="440">
        <f t="shared" ref="F88:H88" si="6">IFERROR(1/(1/F84+1/F85+1/F86),)</f>
        <v>26.47362593454077</v>
      </c>
      <c r="G88" s="440">
        <f t="shared" si="6"/>
        <v>26.473625934540767</v>
      </c>
      <c r="H88" s="440">
        <f t="shared" si="6"/>
        <v>26.473625934540777</v>
      </c>
      <c r="I88" s="440"/>
      <c r="J88" s="441"/>
      <c r="K88" s="383"/>
      <c r="L88"/>
      <c r="M88"/>
      <c r="N88" s="335"/>
    </row>
    <row r="89" spans="2:14">
      <c r="B89" s="442"/>
      <c r="C89" s="443" t="s">
        <v>540</v>
      </c>
      <c r="D89" s="341" t="s">
        <v>452</v>
      </c>
      <c r="E89" s="375">
        <v>5</v>
      </c>
      <c r="F89" s="376">
        <v>5</v>
      </c>
      <c r="G89" s="376">
        <v>5</v>
      </c>
      <c r="H89" s="376">
        <v>5</v>
      </c>
      <c r="I89" s="376"/>
      <c r="J89" s="377"/>
      <c r="K89" s="378"/>
    </row>
    <row r="90" spans="2:14">
      <c r="C90"/>
    </row>
    <row r="91" spans="2:14">
      <c r="C91"/>
    </row>
    <row r="92" spans="2:14">
      <c r="C92"/>
    </row>
    <row r="93" spans="2:14">
      <c r="C93"/>
    </row>
    <row r="94" spans="2:14">
      <c r="C94"/>
    </row>
    <row r="95" spans="2:14">
      <c r="C95"/>
    </row>
    <row r="96" spans="2:14">
      <c r="C96"/>
    </row>
    <row r="97" spans="3:3">
      <c r="C97"/>
    </row>
    <row r="98" spans="3:3">
      <c r="C98"/>
    </row>
  </sheetData>
  <dataValidations count="2">
    <dataValidation type="decimal" allowBlank="1" showInputMessage="1" showErrorMessage="1" sqref="K84:K87 E7:J89" xr:uid="{2727F2C7-54B3-4170-A409-7C2F6E3E260C}">
      <formula1>-9999999999</formula1>
      <formula2>9999999999</formula2>
    </dataValidation>
    <dataValidation type="decimal" allowBlank="1" showInputMessage="1" showErrorMessage="1" sqref="E5:J5" xr:uid="{D5F858F8-347C-4143-BE30-03D01267486B}">
      <formula1>-9999999999</formula1>
      <formula2>999999999</formula2>
    </dataValidation>
  </dataValidations>
  <hyperlinks>
    <hyperlink ref="H2" location="HelpOpsMetrics" display="Help" xr:uid="{133C6E17-37F1-4A6B-898C-64A604FAD5C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Hypothèses</vt:lpstr>
      <vt:lpstr>Calcul UPH</vt:lpstr>
      <vt:lpstr>Calcul ETP Onboarding</vt:lpstr>
      <vt:lpstr>Repart OnBoarding</vt:lpstr>
      <vt:lpstr>Productivités u_h</vt:lpstr>
      <vt:lpstr>CAPA</vt:lpstr>
      <vt:lpstr>I1</vt:lpstr>
      <vt:lpstr>I2</vt:lpstr>
      <vt:lpstr>Besoin ETP Achille</vt:lpstr>
      <vt:lpstr>Volume &amp; Flux Achille </vt:lpstr>
      <vt:lpstr>Flow Structure RFQ</vt:lpstr>
      <vt:lpstr>Productivities RFQ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DOUTRIAUX Paul</cp:lastModifiedBy>
  <cp:revision>0</cp:revision>
  <dcterms:created xsi:type="dcterms:W3CDTF">2026-04-21T13:24:58Z</dcterms:created>
  <dcterms:modified xsi:type="dcterms:W3CDTF">2026-04-23T15:02:30Z</dcterms:modified>
  <dc:language>en-US</dc:language>
</cp:coreProperties>
</file>